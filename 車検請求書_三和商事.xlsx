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控え" sheetId="1" state="visible" r:id="rId1"/>
    <sheet name="請求書" sheetId="2" state="visible" r:id="rId2"/>
    <sheet name="社内集計" sheetId="3" state="visible" r:id="rId3"/>
  </sheets>
  <definedNames>
    <definedName name="_xlnm.Print_Area" localSheetId="0">'控え'!$B$1:$AO$51</definedName>
    <definedName name="_xlnm.Print_Area" localSheetId="1">'請求書'!$B$1:$AO$50</definedName>
    <definedName name="_xlnm.Print_Area" localSheetId="2">'社内集計'!$B$2:$Z$32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HGPｺﾞｼｯｸM"/>
      <charset val="128"/>
      <family val="3"/>
      <color theme="1"/>
      <sz val="20"/>
    </font>
    <font>
      <name val="HGPｺﾞｼｯｸM"/>
      <charset val="128"/>
      <family val="3"/>
      <color theme="1"/>
      <sz val="11"/>
    </font>
    <font>
      <name val="HGPｺﾞｼｯｸM"/>
      <charset val="128"/>
      <family val="3"/>
      <color theme="1"/>
      <sz val="12"/>
    </font>
    <font>
      <name val="HGPｺﾞｼｯｸM"/>
      <charset val="128"/>
      <family val="3"/>
      <color theme="1"/>
      <sz val="18"/>
    </font>
    <font>
      <name val="HGPｺﾞｼｯｸM"/>
      <charset val="128"/>
      <family val="3"/>
      <color theme="1"/>
      <sz val="16"/>
    </font>
    <font>
      <name val="HGPｺﾞｼｯｸM"/>
      <charset val="128"/>
      <family val="3"/>
      <color theme="1"/>
      <sz val="14"/>
    </font>
    <font>
      <name val="HGPｺﾞｼｯｸM"/>
      <charset val="128"/>
      <family val="3"/>
      <color theme="1"/>
      <sz val="10"/>
    </font>
    <font>
      <name val="HGPｺﾞｼｯｸM"/>
      <charset val="128"/>
      <family val="3"/>
      <color theme="1"/>
      <sz val="9"/>
    </font>
    <font>
      <name val="Calibri"/>
      <family val="3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123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3" borderId="3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8" pivotButton="0" quotePrefix="0" xfId="0"/>
    <xf numFmtId="38" fontId="4" fillId="3" borderId="14" applyAlignment="1" pivotButton="0" quotePrefix="0" xfId="1">
      <alignment horizontal="right" vertical="center"/>
    </xf>
    <xf numFmtId="0" fontId="0" fillId="0" borderId="36" pivotButton="0" quotePrefix="0" xfId="0"/>
    <xf numFmtId="0" fontId="0" fillId="0" borderId="37" pivotButton="0" quotePrefix="0" xfId="0"/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4" fillId="2" borderId="17" applyAlignment="1" pivotButton="0" quotePrefix="0" xfId="0">
      <alignment horizontal="center" vertical="center"/>
    </xf>
    <xf numFmtId="57" fontId="4" fillId="3" borderId="1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4" pivotButton="0" quotePrefix="0" xfId="0"/>
    <xf numFmtId="0" fontId="0" fillId="0" borderId="43" pivotButton="0" quotePrefix="0" xfId="0"/>
    <xf numFmtId="0" fontId="4" fillId="0" borderId="1" applyAlignment="1" pivotButton="0" quotePrefix="0" xfId="0">
      <alignment horizontal="center" vertical="center" textRotation="255"/>
    </xf>
    <xf numFmtId="0" fontId="0" fillId="0" borderId="20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3" borderId="0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4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distributed" vertical="center" indent="8"/>
    </xf>
    <xf numFmtId="0" fontId="0" fillId="0" borderId="0" pivotButton="0" quotePrefix="0" xfId="0"/>
    <xf numFmtId="0" fontId="8" fillId="2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12" applyAlignment="1" pivotButton="0" quotePrefix="0" xfId="0">
      <alignment horizontal="center" vertical="center"/>
    </xf>
    <xf numFmtId="0" fontId="0" fillId="0" borderId="46" pivotButton="0" quotePrefix="0" xfId="0"/>
    <xf numFmtId="0" fontId="4" fillId="2" borderId="13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38" fontId="9" fillId="3" borderId="14" applyAlignment="1" pivotButton="0" quotePrefix="0" xfId="1">
      <alignment horizontal="center" vertical="center"/>
    </xf>
    <xf numFmtId="38" fontId="4" fillId="3" borderId="19" applyAlignment="1" pivotButton="0" quotePrefix="0" xfId="1">
      <alignment horizontal="right" vertical="center" indent="1"/>
    </xf>
    <xf numFmtId="0" fontId="0" fillId="0" borderId="21" pivotButton="0" quotePrefix="0" xfId="0"/>
    <xf numFmtId="0" fontId="4" fillId="2" borderId="15" applyAlignment="1" pivotButton="0" quotePrefix="0" xfId="0">
      <alignment horizontal="center" vertical="center"/>
    </xf>
    <xf numFmtId="0" fontId="0" fillId="0" borderId="50" pivotButton="0" quotePrefix="0" xfId="0"/>
    <xf numFmtId="0" fontId="8" fillId="2" borderId="9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7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8" fillId="2" borderId="48" applyAlignment="1" pivotButton="0" quotePrefix="0" xfId="0">
      <alignment horizontal="center" vertical="center"/>
    </xf>
    <xf numFmtId="0" fontId="0" fillId="0" borderId="34" pivotButton="0" quotePrefix="0" xfId="0"/>
    <xf numFmtId="0" fontId="4" fillId="3" borderId="13" applyAlignment="1" pivotButton="0" quotePrefix="0" xfId="0">
      <alignment horizontal="center" vertical="center"/>
    </xf>
    <xf numFmtId="38" fontId="9" fillId="3" borderId="13" applyAlignment="1" pivotButton="0" quotePrefix="0" xfId="0">
      <alignment horizontal="center" vertical="center"/>
    </xf>
    <xf numFmtId="0" fontId="4" fillId="3" borderId="18" applyAlignment="1" pivotButton="0" quotePrefix="0" xfId="0">
      <alignment horizontal="right" vertical="center"/>
    </xf>
    <xf numFmtId="0" fontId="4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4" fillId="3" borderId="4" applyAlignment="1" pivotButton="0" quotePrefix="0" xfId="0">
      <alignment horizontal="center" vertical="center"/>
    </xf>
    <xf numFmtId="38" fontId="9" fillId="3" borderId="13" applyAlignment="1" pivotButton="0" quotePrefix="0" xfId="1">
      <alignment horizontal="center" vertical="center"/>
    </xf>
    <xf numFmtId="38" fontId="9" fillId="0" borderId="13" applyAlignment="1" pivotButton="0" quotePrefix="0" xfId="0">
      <alignment horizontal="center" vertical="center"/>
    </xf>
    <xf numFmtId="0" fontId="4" fillId="3" borderId="20" applyAlignment="1" pivotButton="0" quotePrefix="0" xfId="0">
      <alignment horizontal="left" vertical="center" indent="1"/>
    </xf>
    <xf numFmtId="0" fontId="9" fillId="3" borderId="14" applyAlignment="1" pivotButton="0" quotePrefix="0" xfId="0">
      <alignment horizontal="center" vertical="center"/>
    </xf>
    <xf numFmtId="0" fontId="8" fillId="2" borderId="4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38" fontId="9" fillId="0" borderId="14" applyAlignment="1" pivotButton="0" quotePrefix="0" xfId="0">
      <alignment horizontal="center" vertical="center"/>
    </xf>
    <xf numFmtId="38" fontId="9" fillId="0" borderId="14" applyAlignment="1" pivotButton="0" quotePrefix="0" xfId="1">
      <alignment horizontal="center" vertical="center"/>
    </xf>
    <xf numFmtId="0" fontId="11" fillId="3" borderId="14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4" fillId="3" borderId="47" applyAlignment="1" pivotButton="0" quotePrefix="0" xfId="0">
      <alignment horizontal="left" vertical="center" indent="1"/>
    </xf>
    <xf numFmtId="0" fontId="4" fillId="3" borderId="26" applyAlignment="1" pivotButton="0" quotePrefix="0" xfId="0">
      <alignment horizontal="left" vertical="center" indent="1"/>
    </xf>
    <xf numFmtId="0" fontId="0" fillId="0" borderId="26" pivotButton="0" quotePrefix="0" xfId="0"/>
    <xf numFmtId="0" fontId="5" fillId="3" borderId="35" applyAlignment="1" pivotButton="0" quotePrefix="0" xfId="0">
      <alignment horizontal="left" vertical="center" indent="2"/>
    </xf>
    <xf numFmtId="0" fontId="0" fillId="0" borderId="35" pivotButton="0" quotePrefix="0" xfId="0"/>
    <xf numFmtId="0" fontId="4" fillId="3" borderId="35" applyAlignment="1" pivotButton="0" quotePrefix="0" xfId="0">
      <alignment horizontal="left" vertical="center" indent="1"/>
    </xf>
    <xf numFmtId="0" fontId="0" fillId="0" borderId="23" pivotButton="0" quotePrefix="0" xfId="0"/>
    <xf numFmtId="0" fontId="4" fillId="0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4" fillId="3" borderId="39" applyAlignment="1" pivotButton="0" quotePrefix="0" xfId="0">
      <alignment horizontal="left" vertical="center" indent="1"/>
    </xf>
    <xf numFmtId="38" fontId="6" fillId="0" borderId="51" applyAlignment="1" pivotButton="0" quotePrefix="0" xfId="0">
      <alignment horizontal="right" vertical="center"/>
    </xf>
    <xf numFmtId="0" fontId="0" fillId="0" borderId="29" pivotButton="0" quotePrefix="0" xfId="0"/>
    <xf numFmtId="38" fontId="4" fillId="0" borderId="17" applyAlignment="1" pivotButton="0" quotePrefix="0" xfId="0">
      <alignment horizontal="right" vertical="center"/>
    </xf>
    <xf numFmtId="57" fontId="4" fillId="0" borderId="14" applyAlignment="1" pivotButton="0" quotePrefix="0" xfId="0">
      <alignment horizontal="center" vertical="center"/>
    </xf>
    <xf numFmtId="0" fontId="4" fillId="0" borderId="14" applyAlignment="1" pivotButton="0" quotePrefix="0" xfId="1">
      <alignment horizontal="right" vertical="center"/>
    </xf>
    <xf numFmtId="0" fontId="4" fillId="0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7" fillId="0" borderId="36" applyAlignment="1" pivotButton="0" quotePrefix="0" xfId="0">
      <alignment horizontal="center" vertical="center"/>
    </xf>
    <xf numFmtId="38" fontId="4" fillId="0" borderId="19" applyAlignment="1" pivotButton="0" quotePrefix="0" xfId="1">
      <alignment horizontal="right" vertical="center" indent="1"/>
    </xf>
    <xf numFmtId="0" fontId="4" fillId="0" borderId="13" applyAlignment="1" pivotButton="0" quotePrefix="0" xfId="0">
      <alignment horizontal="center" vertical="center"/>
    </xf>
    <xf numFmtId="0" fontId="4" fillId="0" borderId="18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38" fontId="9" fillId="0" borderId="13" applyAlignment="1" pivotButton="0" quotePrefix="0" xfId="1">
      <alignment horizontal="center" vertical="center"/>
    </xf>
    <xf numFmtId="0" fontId="4" fillId="0" borderId="20" applyAlignment="1" pivotButton="0" quotePrefix="0" xfId="0">
      <alignment horizontal="left" vertical="center" indent="1"/>
    </xf>
    <xf numFmtId="0" fontId="9" fillId="0" borderId="14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left" vertical="center" indent="1"/>
    </xf>
    <xf numFmtId="0" fontId="4" fillId="0" borderId="26" applyAlignment="1" pivotButton="0" quotePrefix="0" xfId="0">
      <alignment horizontal="left" vertical="center" indent="1"/>
    </xf>
    <xf numFmtId="0" fontId="5" fillId="0" borderId="35" applyAlignment="1" pivotButton="0" quotePrefix="0" xfId="0">
      <alignment horizontal="left" vertical="center" indent="2"/>
    </xf>
    <xf numFmtId="0" fontId="4" fillId="0" borderId="35" applyAlignment="1" pivotButton="0" quotePrefix="0" xfId="0">
      <alignment horizontal="left" vertical="center" indent="1"/>
    </xf>
    <xf numFmtId="0" fontId="4" fillId="0" borderId="39" applyAlignment="1" pivotButton="0" quotePrefix="0" xfId="0">
      <alignment horizontal="left" vertical="center" indent="1"/>
    </xf>
    <xf numFmtId="0" fontId="4" fillId="0" borderId="17" applyAlignment="1" pivotButton="0" quotePrefix="0" xfId="0">
      <alignment horizontal="right" vertical="center"/>
    </xf>
    <xf numFmtId="38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38" fontId="4" fillId="5" borderId="1" applyAlignment="1" pivotButton="0" quotePrefix="0" xfId="0">
      <alignment horizontal="center" vertical="center"/>
    </xf>
  </cellXfs>
  <cellStyles count="2">
    <cellStyle name="標準" xfId="0" builtinId="0"/>
    <cellStyle name="桁区切り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50"/>
  <sheetViews>
    <sheetView showZeros="0" tabSelected="1" zoomScale="70" zoomScaleNormal="70" workbookViewId="0">
      <selection activeCell="AT11" sqref="AT11"/>
    </sheetView>
  </sheetViews>
  <sheetFormatPr baseColWidth="8" defaultColWidth="2.625" defaultRowHeight="13.5"/>
  <cols>
    <col width="4.375" customWidth="1" style="41" min="1" max="1"/>
    <col width="4.25" customWidth="1" style="41" min="2" max="2"/>
    <col width="2.625" customWidth="1" style="41" min="3" max="3"/>
  </cols>
  <sheetData>
    <row r="2">
      <c r="B2" s="40" t="inlineStr">
        <is>
          <t>請求書（控え）</t>
        </is>
      </c>
      <c r="AB2" s="50" t="n">
        <v>46198</v>
      </c>
    </row>
    <row r="3"/>
    <row r="4" ht="21" customHeight="1" s="41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20.25" customHeight="1" s="41">
      <c r="B5" s="65" t="inlineStr">
        <is>
          <t>ご住所</t>
        </is>
      </c>
      <c r="C5" s="37" t="n"/>
      <c r="D5" s="37" t="n"/>
      <c r="E5" s="37" t="n"/>
      <c r="F5" s="72" t="n"/>
      <c r="G5" s="37" t="n"/>
      <c r="H5" s="37" t="n"/>
      <c r="I5" s="37" t="n"/>
      <c r="J5" s="37" t="n"/>
      <c r="K5" s="37" t="n"/>
      <c r="L5" s="36" t="n"/>
      <c r="M5" s="37" t="n"/>
      <c r="N5" s="37" t="n"/>
      <c r="O5" s="37" t="n"/>
      <c r="P5" s="37" t="n"/>
      <c r="Q5" s="37" t="n"/>
      <c r="R5" s="37" t="n"/>
      <c r="S5" s="37" t="n"/>
      <c r="T5" s="37" t="n"/>
      <c r="U5" s="38" t="n"/>
      <c r="X5" s="18" t="inlineStr">
        <is>
          <t>三和商事株式会社
豊岡サービスステーション</t>
        </is>
      </c>
    </row>
    <row r="6" ht="20.25" customHeight="1" s="41">
      <c r="B6" s="66" t="n"/>
      <c r="C6" s="11" t="n"/>
      <c r="D6" s="11" t="n"/>
      <c r="E6" s="11" t="n"/>
      <c r="F6" s="84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85" t="n"/>
    </row>
    <row r="7" ht="20.25" customHeight="1" s="41">
      <c r="B7" s="77" t="inlineStr">
        <is>
          <t>お名前</t>
        </is>
      </c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92" t="inlineStr">
        <is>
          <t>様</t>
        </is>
      </c>
      <c r="T7" s="10" t="n"/>
      <c r="U7" s="89" t="n"/>
      <c r="X7" s="90" t="inlineStr">
        <is>
          <t>〒668-0052　豊岡市九日市下町131</t>
        </is>
      </c>
    </row>
    <row r="8" ht="20.25" customHeight="1" s="41">
      <c r="B8" s="6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85" t="n"/>
      <c r="X8" s="90" t="inlineStr">
        <is>
          <t>TEL　0796-23-2030</t>
        </is>
      </c>
    </row>
    <row r="9" ht="20.25" customHeight="1" s="41">
      <c r="B9" s="42" t="inlineStr">
        <is>
          <t>TEL</t>
        </is>
      </c>
      <c r="C9" s="13" t="n"/>
      <c r="D9" s="13" t="n"/>
      <c r="E9" s="13" t="n"/>
      <c r="F9" s="86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87" t="n"/>
      <c r="X9" s="90" t="inlineStr">
        <is>
          <t>担当</t>
        </is>
      </c>
      <c r="AB9" s="35" t="n"/>
    </row>
    <row r="11">
      <c r="B11" s="91" t="inlineStr">
        <is>
          <t>車名</t>
        </is>
      </c>
      <c r="C11" s="22" t="n"/>
      <c r="D11" s="22" t="n"/>
      <c r="E11" s="22" t="n"/>
      <c r="F11" s="23" t="n"/>
      <c r="G11" s="32" t="inlineStr">
        <is>
          <t>車種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 t="n"/>
      <c r="R11" s="32" t="inlineStr">
        <is>
          <t>初年度登録</t>
        </is>
      </c>
      <c r="S11" s="22" t="n"/>
      <c r="T11" s="22" t="n"/>
      <c r="U11" s="22" t="n"/>
      <c r="V11" s="22" t="n"/>
      <c r="W11" s="23" t="n"/>
      <c r="X11" s="46" t="inlineStr">
        <is>
          <t>登録番号</t>
        </is>
      </c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47" t="n"/>
    </row>
    <row r="12" ht="10.5" customHeight="1" s="41">
      <c r="B12" s="67" t="inlineStr">
        <is>
          <t>三菱</t>
        </is>
      </c>
      <c r="C12" s="10" t="n"/>
      <c r="D12" s="10" t="n"/>
      <c r="E12" s="10" t="n"/>
      <c r="F12" s="26" t="n"/>
      <c r="G12" s="20" t="inlineStr">
        <is>
          <t>ミニキャブバン</t>
        </is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6" t="n"/>
      <c r="R12" s="20" t="inlineStr">
        <is>
          <t>平成30年6月</t>
        </is>
      </c>
      <c r="S12" s="10" t="n"/>
      <c r="T12" s="10" t="n"/>
      <c r="U12" s="10" t="n"/>
      <c r="V12" s="10" t="n"/>
      <c r="W12" s="26" t="n"/>
      <c r="X12" s="69" t="inlineStr">
        <is>
          <t>姫路</t>
        </is>
      </c>
      <c r="Y12" s="10" t="n"/>
      <c r="Z12" s="10" t="n"/>
      <c r="AA12" s="10" t="n"/>
      <c r="AB12" s="33" t="inlineStr">
        <is>
          <t>480</t>
        </is>
      </c>
      <c r="AE12" s="33" t="inlineStr">
        <is>
          <t>ち</t>
        </is>
      </c>
      <c r="AG12" s="88" t="inlineStr">
        <is>
          <t>9525</t>
        </is>
      </c>
      <c r="AH12" s="10" t="n"/>
      <c r="AI12" s="10" t="n"/>
      <c r="AJ12" s="10" t="n"/>
      <c r="AK12" s="89" t="n"/>
    </row>
    <row r="13" ht="10.5" customHeight="1" s="41">
      <c r="B13" s="66" t="n"/>
      <c r="C13" s="11" t="n"/>
      <c r="D13" s="11" t="n"/>
      <c r="E13" s="11" t="n"/>
      <c r="F13" s="28" t="n"/>
      <c r="G13" s="27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28" t="n"/>
      <c r="R13" s="27" t="n"/>
      <c r="S13" s="11" t="n"/>
      <c r="T13" s="11" t="n"/>
      <c r="U13" s="11" t="n"/>
      <c r="V13" s="11" t="n"/>
      <c r="W13" s="28" t="n"/>
      <c r="X13" s="27" t="n"/>
      <c r="Y13" s="11" t="n"/>
      <c r="Z13" s="11" t="n"/>
      <c r="AA13" s="11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60" t="n"/>
    </row>
    <row r="14">
      <c r="B14" s="48" t="inlineStr">
        <is>
          <t>型式</t>
        </is>
      </c>
      <c r="C14" s="16" t="n"/>
      <c r="D14" s="16" t="n"/>
      <c r="E14" s="16" t="n"/>
      <c r="F14" s="17" t="n"/>
      <c r="G14" s="31" t="inlineStr">
        <is>
          <t>車体番号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31" t="inlineStr">
        <is>
          <t>次回車検日</t>
        </is>
      </c>
      <c r="S14" s="16" t="n"/>
      <c r="T14" s="16" t="n"/>
      <c r="U14" s="16" t="n"/>
      <c r="V14" s="16" t="n"/>
      <c r="W14" s="17" t="n"/>
      <c r="X14" s="54" t="inlineStr">
        <is>
          <t>走行距離</t>
        </is>
      </c>
      <c r="Y14" s="16" t="n"/>
      <c r="Z14" s="16" t="n"/>
      <c r="AA14" s="16" t="n"/>
      <c r="AB14" s="16" t="n"/>
      <c r="AC14" s="16" t="n"/>
      <c r="AD14" s="16" t="n"/>
      <c r="AE14" s="55" t="n"/>
      <c r="AF14" s="90" t="n"/>
      <c r="AG14" s="90" t="n"/>
    </row>
    <row r="15" ht="10.5" customHeight="1" s="41">
      <c r="B15" s="82" t="inlineStr">
        <is>
          <t>HBD-DS17V</t>
        </is>
      </c>
      <c r="C15" s="10" t="n"/>
      <c r="D15" s="10" t="n"/>
      <c r="E15" s="10" t="n"/>
      <c r="F15" s="26" t="n"/>
      <c r="G15" s="81" t="inlineStr">
        <is>
          <t>DS17V-256638</t>
        </is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6" t="n"/>
      <c r="R15" s="25" t="inlineStr">
        <is>
          <t>令和10年6月27日</t>
        </is>
      </c>
      <c r="S15" s="10" t="n"/>
      <c r="T15" s="10" t="n"/>
      <c r="U15" s="10" t="n"/>
      <c r="V15" s="10" t="n"/>
      <c r="W15" s="26" t="n"/>
      <c r="X15" s="52" t="n">
        <v>94790</v>
      </c>
      <c r="Y15" s="10" t="n"/>
      <c r="Z15" s="10" t="n"/>
      <c r="AA15" s="10" t="n"/>
      <c r="AB15" s="10" t="n"/>
      <c r="AC15" s="10" t="n"/>
      <c r="AD15" s="70" t="inlineStr">
        <is>
          <t>ｋｍ</t>
        </is>
      </c>
      <c r="AE15" s="71" t="n"/>
      <c r="AF15" s="90" t="n"/>
      <c r="AG15" s="90" t="n"/>
    </row>
    <row r="16" ht="10.5" customHeight="1" s="41">
      <c r="B16" s="66" t="n"/>
      <c r="C16" s="11" t="n"/>
      <c r="D16" s="11" t="n"/>
      <c r="E16" s="11" t="n"/>
      <c r="F16" s="28" t="n"/>
      <c r="G16" s="27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 t="n"/>
      <c r="R16" s="27" t="n"/>
      <c r="S16" s="11" t="n"/>
      <c r="T16" s="11" t="n"/>
      <c r="U16" s="11" t="n"/>
      <c r="V16" s="11" t="n"/>
      <c r="W16" s="28" t="n"/>
      <c r="X16" s="53" t="n"/>
      <c r="Y16" s="34" t="n"/>
      <c r="Z16" s="34" t="n"/>
      <c r="AA16" s="34" t="n"/>
      <c r="AB16" s="34" t="n"/>
      <c r="AC16" s="34" t="n"/>
      <c r="AD16" s="34" t="n"/>
      <c r="AE16" s="60" t="n"/>
      <c r="AF16" s="90" t="n"/>
      <c r="AG16" s="90" t="n"/>
    </row>
    <row r="17" ht="14.25" customHeight="1" s="41"/>
    <row r="18" ht="19.5" customHeight="1" s="41">
      <c r="B18" s="56" t="inlineStr">
        <is>
          <t>ご請求金額</t>
        </is>
      </c>
      <c r="C18" s="57" t="n"/>
      <c r="D18" s="57" t="n"/>
      <c r="E18" s="57" t="n"/>
      <c r="F18" s="58" t="n"/>
      <c r="G18" s="94">
        <f>AH22</f>
        <v/>
      </c>
      <c r="H18" s="57" t="n"/>
      <c r="I18" s="57" t="n"/>
      <c r="J18" s="57" t="n"/>
      <c r="K18" s="57" t="n"/>
      <c r="L18" s="57" t="n"/>
      <c r="M18" s="57" t="n"/>
      <c r="N18" s="57" t="n"/>
      <c r="O18" s="61" t="inlineStr">
        <is>
          <t>円</t>
        </is>
      </c>
      <c r="P18" s="62" t="n"/>
      <c r="R18" s="29" t="inlineStr">
        <is>
          <t>備考</t>
        </is>
      </c>
      <c r="S18" s="43" t="inlineStr">
        <is>
          <t>代行料は税込表示／REX納品書 伝票No.00016126より転記</t>
        </is>
      </c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  <c r="AK18" s="45" t="n"/>
    </row>
    <row r="19" ht="19.5" customHeight="1" s="41">
      <c r="B19" s="59" t="n"/>
      <c r="C19" s="34" t="n"/>
      <c r="D19" s="34" t="n"/>
      <c r="E19" s="34" t="n"/>
      <c r="F19" s="60" t="n"/>
      <c r="G19" s="95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4" t="n"/>
      <c r="R19" s="30" t="n"/>
      <c r="S19" s="43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5" t="n"/>
    </row>
    <row r="21">
      <c r="B21" s="49" t="inlineStr">
        <is>
          <t>整備合計</t>
        </is>
      </c>
      <c r="C21" s="22" t="n"/>
      <c r="D21" s="22" t="n"/>
      <c r="E21" s="23" t="n"/>
      <c r="F21" s="78" t="inlineStr">
        <is>
          <t>消費税（10％）</t>
        </is>
      </c>
      <c r="G21" s="22" t="n"/>
      <c r="H21" s="23" t="n"/>
      <c r="I21" s="3" t="n"/>
      <c r="J21" s="49" t="inlineStr">
        <is>
          <t>自賠責</t>
        </is>
      </c>
      <c r="K21" s="22" t="n"/>
      <c r="L21" s="23" t="n"/>
      <c r="M21" s="21" t="inlineStr">
        <is>
          <t>重量税</t>
        </is>
      </c>
      <c r="N21" s="22" t="n"/>
      <c r="O21" s="23" t="n"/>
      <c r="P21" s="21" t="inlineStr">
        <is>
          <t>印紙税等</t>
        </is>
      </c>
      <c r="Q21" s="22" t="n"/>
      <c r="R21" s="23" t="n"/>
      <c r="S21" s="21" t="inlineStr">
        <is>
          <t>その他</t>
        </is>
      </c>
      <c r="T21" s="22" t="n"/>
      <c r="U21" s="23" t="n"/>
      <c r="V21" s="21" t="inlineStr">
        <is>
          <t>諸費用計</t>
        </is>
      </c>
      <c r="W21" s="22" t="n"/>
      <c r="X21" s="23" t="n"/>
      <c r="Y21" s="3" t="n"/>
      <c r="Z21" s="49" t="inlineStr">
        <is>
          <t>合計金額</t>
        </is>
      </c>
      <c r="AA21" s="22" t="n"/>
      <c r="AB21" s="22" t="n"/>
      <c r="AC21" s="23" t="n"/>
      <c r="AD21" s="21" t="inlineStr">
        <is>
          <t>調整額</t>
        </is>
      </c>
      <c r="AE21" s="22" t="n"/>
      <c r="AF21" s="22" t="n"/>
      <c r="AG21" s="23" t="n"/>
      <c r="AH21" s="21" t="inlineStr">
        <is>
          <t>請求金額</t>
        </is>
      </c>
      <c r="AI21" s="22" t="n"/>
      <c r="AJ21" s="22" t="n"/>
      <c r="AK21" s="23" t="n"/>
    </row>
    <row r="22" ht="11.25" customHeight="1" s="41">
      <c r="B22" s="68">
        <f>SUM(X46:AF46)</f>
        <v/>
      </c>
      <c r="C22" s="10" t="n"/>
      <c r="D22" s="10" t="n"/>
      <c r="E22" s="26" t="n"/>
      <c r="F22" s="80">
        <f>ROUND(B22*0.1,0)</f>
        <v/>
      </c>
      <c r="G22" s="10" t="n"/>
      <c r="H22" s="26" t="n"/>
      <c r="I22" s="3" t="n"/>
      <c r="J22" s="73" t="n"/>
      <c r="K22" s="10" t="n"/>
      <c r="L22" s="26" t="n"/>
      <c r="M22" s="51" t="n">
        <v>6600</v>
      </c>
      <c r="N22" s="10" t="n"/>
      <c r="O22" s="26" t="n"/>
      <c r="P22" s="51" t="n">
        <v>2100</v>
      </c>
      <c r="Q22" s="10" t="n"/>
      <c r="R22" s="26" t="n"/>
      <c r="S22" s="51" t="n">
        <v>7700</v>
      </c>
      <c r="T22" s="10" t="n"/>
      <c r="U22" s="26" t="n"/>
      <c r="V22" s="80">
        <f>SUM(J22:U23)</f>
        <v/>
      </c>
      <c r="W22" s="10" t="n"/>
      <c r="X22" s="26" t="n"/>
      <c r="Y22" s="3" t="n"/>
      <c r="Z22" s="74">
        <f>V22+F22+B22</f>
        <v/>
      </c>
      <c r="AA22" s="10" t="n"/>
      <c r="AB22" s="10" t="n"/>
      <c r="AC22" s="26" t="n"/>
      <c r="AD22" s="76" t="n">
        <v>-1</v>
      </c>
      <c r="AE22" s="10" t="n"/>
      <c r="AF22" s="10" t="n"/>
      <c r="AG22" s="26" t="n"/>
      <c r="AH22" s="79">
        <f>Z22+AD22</f>
        <v/>
      </c>
      <c r="AI22" s="10" t="n"/>
      <c r="AJ22" s="10" t="n"/>
      <c r="AK22" s="26" t="n"/>
    </row>
    <row r="23" ht="11.25" customHeight="1" s="41">
      <c r="B23" s="66" t="n"/>
      <c r="C23" s="11" t="n"/>
      <c r="D23" s="11" t="n"/>
      <c r="E23" s="28" t="n"/>
      <c r="F23" s="27" t="n"/>
      <c r="G23" s="11" t="n"/>
      <c r="H23" s="28" t="n"/>
      <c r="I23" s="3" t="n"/>
      <c r="J23" s="66" t="n"/>
      <c r="K23" s="11" t="n"/>
      <c r="L23" s="28" t="n"/>
      <c r="M23" s="27" t="n"/>
      <c r="N23" s="11" t="n"/>
      <c r="O23" s="28" t="n"/>
      <c r="P23" s="27" t="n"/>
      <c r="Q23" s="11" t="n"/>
      <c r="R23" s="28" t="n"/>
      <c r="S23" s="27" t="n"/>
      <c r="T23" s="11" t="n"/>
      <c r="U23" s="28" t="n"/>
      <c r="V23" s="27" t="n"/>
      <c r="W23" s="11" t="n"/>
      <c r="X23" s="28" t="n"/>
      <c r="Y23" s="3" t="n"/>
      <c r="Z23" s="66" t="n"/>
      <c r="AA23" s="11" t="n"/>
      <c r="AB23" s="11" t="n"/>
      <c r="AC23" s="28" t="n"/>
      <c r="AD23" s="27" t="n"/>
      <c r="AE23" s="11" t="n"/>
      <c r="AF23" s="11" t="n"/>
      <c r="AG23" s="28" t="n"/>
      <c r="AH23" s="27" t="n"/>
      <c r="AI23" s="11" t="n"/>
      <c r="AJ23" s="11" t="n"/>
      <c r="AK23" s="28" t="n"/>
    </row>
    <row r="25" ht="20.25" customHeight="1" s="41">
      <c r="B25" s="91" t="inlineStr">
        <is>
          <t>№</t>
        </is>
      </c>
      <c r="C25" s="32" t="inlineStr">
        <is>
          <t>作業内容・部品名等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3" t="n"/>
      <c r="R25" s="32" t="inlineStr">
        <is>
          <t>数量</t>
        </is>
      </c>
      <c r="S25" s="22" t="n"/>
      <c r="T25" s="23" t="n"/>
      <c r="U25" s="32" t="inlineStr">
        <is>
          <t>単価</t>
        </is>
      </c>
      <c r="V25" s="22" t="n"/>
      <c r="W25" s="23" t="n"/>
      <c r="X25" s="32" t="inlineStr">
        <is>
          <t>部品金額</t>
        </is>
      </c>
      <c r="Y25" s="22" t="n"/>
      <c r="Z25" s="22" t="n"/>
      <c r="AA25" s="23" t="n"/>
      <c r="AB25" s="32" t="inlineStr">
        <is>
          <t>技術料・他</t>
        </is>
      </c>
      <c r="AC25" s="22" t="n"/>
      <c r="AD25" s="22" t="n"/>
      <c r="AE25" s="22" t="n"/>
      <c r="AF25" s="23" t="n"/>
      <c r="AG25" s="32" t="inlineStr">
        <is>
          <t>摘要</t>
        </is>
      </c>
      <c r="AH25" s="22" t="n"/>
      <c r="AI25" s="22" t="n"/>
      <c r="AJ25" s="22" t="n"/>
      <c r="AK25" s="23" t="n"/>
    </row>
    <row r="26" ht="20.25" customHeight="1" s="41">
      <c r="B26" s="105" t="n">
        <v>1</v>
      </c>
      <c r="C26" s="39" t="inlineStr">
        <is>
          <t>車検基本料金</t>
        </is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20" t="n"/>
      <c r="S26" s="16" t="n"/>
      <c r="T26" s="17" t="n"/>
      <c r="U26" s="15" t="n"/>
      <c r="V26" s="16" t="n"/>
      <c r="W26" s="17" t="n"/>
      <c r="X26" s="15" t="n"/>
      <c r="Y26" s="16" t="n"/>
      <c r="Z26" s="16" t="n"/>
      <c r="AA26" s="17" t="n"/>
      <c r="AB26" s="15" t="n">
        <v>11500</v>
      </c>
      <c r="AC26" s="16" t="n"/>
      <c r="AD26" s="16" t="n"/>
      <c r="AE26" s="16" t="n"/>
      <c r="AF26" s="17" t="n"/>
      <c r="AG26" s="20" t="n"/>
      <c r="AH26" s="16" t="n"/>
      <c r="AI26" s="16" t="n"/>
      <c r="AJ26" s="16" t="n"/>
      <c r="AK26" s="17" t="n"/>
    </row>
    <row r="27" ht="20.25" customHeight="1" s="41">
      <c r="B27" s="105" t="n">
        <v>2</v>
      </c>
      <c r="C27" s="39" t="inlineStr">
        <is>
          <t>フロント・ディスク・ロータ（1台）取替</t>
        </is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20" t="n"/>
      <c r="S27" s="16" t="n"/>
      <c r="T27" s="17" t="n"/>
      <c r="U27" s="15" t="n"/>
      <c r="V27" s="16" t="n"/>
      <c r="W27" s="17" t="n"/>
      <c r="X27" s="15" t="n"/>
      <c r="Y27" s="16" t="n"/>
      <c r="Z27" s="16" t="n"/>
      <c r="AA27" s="17" t="n"/>
      <c r="AB27" s="15" t="n">
        <v>9000</v>
      </c>
      <c r="AC27" s="16" t="n"/>
      <c r="AD27" s="16" t="n"/>
      <c r="AE27" s="16" t="n"/>
      <c r="AF27" s="17" t="n"/>
      <c r="AG27" s="20" t="n"/>
      <c r="AH27" s="16" t="n"/>
      <c r="AI27" s="16" t="n"/>
      <c r="AJ27" s="16" t="n"/>
      <c r="AK27" s="17" t="n"/>
    </row>
    <row r="28" ht="20.25" customHeight="1" s="41">
      <c r="B28" s="105" t="n">
        <v>3</v>
      </c>
      <c r="C28" s="39" t="inlineStr">
        <is>
          <t>ディスク, フロント ブレーキ</t>
        </is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20" t="n">
        <v>2</v>
      </c>
      <c r="S28" s="16" t="n"/>
      <c r="T28" s="17" t="n"/>
      <c r="U28" s="15" t="n"/>
      <c r="V28" s="16" t="n"/>
      <c r="W28" s="17" t="n"/>
      <c r="X28" s="15" t="n"/>
      <c r="Y28" s="16" t="n"/>
      <c r="Z28" s="16" t="n"/>
      <c r="AA28" s="17" t="n"/>
      <c r="AB28" s="15" t="n"/>
      <c r="AC28" s="16" t="n"/>
      <c r="AD28" s="16" t="n"/>
      <c r="AE28" s="16" t="n"/>
      <c r="AF28" s="17" t="n"/>
      <c r="AG28" s="20" t="inlineStr">
        <is>
          <t>持込</t>
        </is>
      </c>
      <c r="AH28" s="16" t="n"/>
      <c r="AI28" s="16" t="n"/>
      <c r="AJ28" s="16" t="n"/>
      <c r="AK28" s="17" t="n"/>
    </row>
    <row r="29" ht="20.25" customHeight="1" s="41">
      <c r="B29" s="105" t="n">
        <v>4</v>
      </c>
      <c r="C29" s="39" t="inlineStr">
        <is>
          <t>パッド, セット, フロント ブレーキ</t>
        </is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20" t="n">
        <v>1</v>
      </c>
      <c r="S29" s="16" t="n"/>
      <c r="T29" s="17" t="n"/>
      <c r="U29" s="15" t="n"/>
      <c r="V29" s="16" t="n"/>
      <c r="W29" s="17" t="n"/>
      <c r="X29" s="15" t="n"/>
      <c r="Y29" s="16" t="n"/>
      <c r="Z29" s="16" t="n"/>
      <c r="AA29" s="17" t="n"/>
      <c r="AB29" s="15" t="n"/>
      <c r="AC29" s="16" t="n"/>
      <c r="AD29" s="16" t="n"/>
      <c r="AE29" s="16" t="n"/>
      <c r="AF29" s="17" t="n"/>
      <c r="AG29" s="20" t="inlineStr">
        <is>
          <t>持込</t>
        </is>
      </c>
      <c r="AH29" s="16" t="n"/>
      <c r="AI29" s="16" t="n"/>
      <c r="AJ29" s="16" t="n"/>
      <c r="AK29" s="17" t="n"/>
    </row>
    <row r="30" ht="20.25" customHeight="1" s="41">
      <c r="B30" s="105" t="n">
        <v>5</v>
      </c>
      <c r="C30" s="39" t="inlineStr">
        <is>
          <t>リヤブレーキ（1台）清掃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20" t="n"/>
      <c r="S30" s="16" t="n"/>
      <c r="T30" s="17" t="n"/>
      <c r="U30" s="15" t="n"/>
      <c r="V30" s="16" t="n"/>
      <c r="W30" s="17" t="n"/>
      <c r="X30" s="15" t="n"/>
      <c r="Y30" s="16" t="n"/>
      <c r="Z30" s="16" t="n"/>
      <c r="AA30" s="17" t="n"/>
      <c r="AB30" s="15" t="n">
        <v>2700</v>
      </c>
      <c r="AC30" s="16" t="n"/>
      <c r="AD30" s="16" t="n"/>
      <c r="AE30" s="16" t="n"/>
      <c r="AF30" s="17" t="n"/>
      <c r="AG30" s="20" t="n"/>
      <c r="AH30" s="16" t="n"/>
      <c r="AI30" s="16" t="n"/>
      <c r="AJ30" s="16" t="n"/>
      <c r="AK30" s="17" t="n"/>
    </row>
    <row r="31" ht="20.25" customHeight="1" s="41">
      <c r="B31" s="105" t="n">
        <v>6</v>
      </c>
      <c r="C31" s="39" t="inlineStr">
        <is>
          <t>ブレーキ・フルード 取替</t>
        </is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20" t="n">
        <v>1</v>
      </c>
      <c r="S31" s="16" t="n"/>
      <c r="T31" s="17" t="n"/>
      <c r="U31" s="15" t="n">
        <v>1000</v>
      </c>
      <c r="V31" s="16" t="n"/>
      <c r="W31" s="17" t="n"/>
      <c r="X31" s="15" t="n">
        <v>1000</v>
      </c>
      <c r="Y31" s="16" t="n"/>
      <c r="Z31" s="16" t="n"/>
      <c r="AA31" s="17" t="n"/>
      <c r="AB31" s="15" t="n">
        <v>2700</v>
      </c>
      <c r="AC31" s="16" t="n"/>
      <c r="AD31" s="16" t="n"/>
      <c r="AE31" s="16" t="n"/>
      <c r="AF31" s="17" t="n"/>
      <c r="AG31" s="20" t="n"/>
      <c r="AH31" s="16" t="n"/>
      <c r="AI31" s="16" t="n"/>
      <c r="AJ31" s="16" t="n"/>
      <c r="AK31" s="17" t="n"/>
    </row>
    <row r="32" ht="20.25" customHeight="1" s="41">
      <c r="B32" s="105" t="n">
        <v>7</v>
      </c>
      <c r="C32" s="39" t="inlineStr">
        <is>
          <t>V-ベルト全数 取替</t>
        </is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20" t="n"/>
      <c r="S32" s="16" t="n"/>
      <c r="T32" s="17" t="n"/>
      <c r="U32" s="15" t="n"/>
      <c r="V32" s="16" t="n"/>
      <c r="W32" s="17" t="n"/>
      <c r="X32" s="15" t="n"/>
      <c r="Y32" s="16" t="n"/>
      <c r="Z32" s="16" t="n"/>
      <c r="AA32" s="17" t="n"/>
      <c r="AB32" s="15" t="n">
        <v>8100</v>
      </c>
      <c r="AC32" s="16" t="n"/>
      <c r="AD32" s="16" t="n"/>
      <c r="AE32" s="16" t="n"/>
      <c r="AF32" s="17" t="n"/>
      <c r="AG32" s="20" t="n"/>
      <c r="AH32" s="16" t="n"/>
      <c r="AI32" s="16" t="n"/>
      <c r="AJ32" s="16" t="n"/>
      <c r="AK32" s="17" t="n"/>
    </row>
    <row r="33" ht="20.25" customHeight="1" s="41">
      <c r="B33" s="105" t="n">
        <v>8</v>
      </c>
      <c r="C33" s="39" t="inlineStr">
        <is>
          <t>ベルト, エアコン</t>
        </is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20" t="n">
        <v>1</v>
      </c>
      <c r="S33" s="16" t="n"/>
      <c r="T33" s="17" t="n"/>
      <c r="U33" s="15" t="n"/>
      <c r="V33" s="16" t="n"/>
      <c r="W33" s="17" t="n"/>
      <c r="X33" s="15" t="n"/>
      <c r="Y33" s="16" t="n"/>
      <c r="Z33" s="16" t="n"/>
      <c r="AA33" s="17" t="n"/>
      <c r="AB33" s="15" t="n"/>
      <c r="AC33" s="16" t="n"/>
      <c r="AD33" s="16" t="n"/>
      <c r="AE33" s="16" t="n"/>
      <c r="AF33" s="17" t="n"/>
      <c r="AG33" s="20" t="inlineStr">
        <is>
          <t>持込</t>
        </is>
      </c>
      <c r="AH33" s="16" t="n"/>
      <c r="AI33" s="16" t="n"/>
      <c r="AJ33" s="16" t="n"/>
      <c r="AK33" s="17" t="n"/>
    </row>
    <row r="34" ht="20.25" customHeight="1" s="41">
      <c r="B34" s="105" t="n">
        <v>9</v>
      </c>
      <c r="C34" s="39" t="inlineStr">
        <is>
          <t>ベルト, オルタネータ＆アイドラ</t>
        </is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20" t="n">
        <v>1</v>
      </c>
      <c r="S34" s="16" t="n"/>
      <c r="T34" s="17" t="n"/>
      <c r="U34" s="15" t="n"/>
      <c r="V34" s="16" t="n"/>
      <c r="W34" s="17" t="n"/>
      <c r="X34" s="15" t="n"/>
      <c r="Y34" s="16" t="n"/>
      <c r="Z34" s="16" t="n"/>
      <c r="AA34" s="17" t="n"/>
      <c r="AB34" s="15" t="n"/>
      <c r="AC34" s="16" t="n"/>
      <c r="AD34" s="16" t="n"/>
      <c r="AE34" s="16" t="n"/>
      <c r="AF34" s="17" t="n"/>
      <c r="AG34" s="20" t="inlineStr">
        <is>
          <t>持込</t>
        </is>
      </c>
      <c r="AH34" s="16" t="n"/>
      <c r="AI34" s="16" t="n"/>
      <c r="AJ34" s="16" t="n"/>
      <c r="AK34" s="17" t="n"/>
    </row>
    <row r="35" ht="20.25" customHeight="1" s="41">
      <c r="B35" s="105" t="n">
        <v>10</v>
      </c>
      <c r="C35" s="39" t="inlineStr">
        <is>
          <t>エア・クリーナー・エレメント 取替</t>
        </is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20" t="n"/>
      <c r="S35" s="16" t="n"/>
      <c r="T35" s="17" t="n"/>
      <c r="U35" s="15" t="n"/>
      <c r="V35" s="16" t="n"/>
      <c r="W35" s="17" t="n"/>
      <c r="X35" s="15" t="n"/>
      <c r="Y35" s="16" t="n"/>
      <c r="Z35" s="16" t="n"/>
      <c r="AA35" s="17" t="n"/>
      <c r="AB35" s="15" t="n">
        <v>2700</v>
      </c>
      <c r="AC35" s="16" t="n"/>
      <c r="AD35" s="16" t="n"/>
      <c r="AE35" s="16" t="n"/>
      <c r="AF35" s="17" t="n"/>
      <c r="AG35" s="20" t="n"/>
      <c r="AH35" s="16" t="n"/>
      <c r="AI35" s="16" t="n"/>
      <c r="AJ35" s="16" t="n"/>
      <c r="AK35" s="17" t="n"/>
    </row>
    <row r="36" ht="20.25" customHeight="1" s="41">
      <c r="B36" s="105" t="n">
        <v>11</v>
      </c>
      <c r="C36" s="39" t="inlineStr">
        <is>
          <t>エレメント, エア クリーナ</t>
        </is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20" t="n">
        <v>1</v>
      </c>
      <c r="S36" s="16" t="n"/>
      <c r="T36" s="17" t="n"/>
      <c r="U36" s="15" t="n"/>
      <c r="V36" s="16" t="n"/>
      <c r="W36" s="17" t="n"/>
      <c r="X36" s="15" t="n"/>
      <c r="Y36" s="16" t="n"/>
      <c r="Z36" s="16" t="n"/>
      <c r="AA36" s="17" t="n"/>
      <c r="AB36" s="15" t="n"/>
      <c r="AC36" s="16" t="n"/>
      <c r="AD36" s="16" t="n"/>
      <c r="AE36" s="16" t="n"/>
      <c r="AF36" s="17" t="n"/>
      <c r="AG36" s="20" t="inlineStr">
        <is>
          <t>持込</t>
        </is>
      </c>
      <c r="AH36" s="16" t="n"/>
      <c r="AI36" s="16" t="n"/>
      <c r="AJ36" s="16" t="n"/>
      <c r="AK36" s="17" t="n"/>
    </row>
    <row r="37" ht="20.25" customHeight="1" s="41">
      <c r="B37" s="105" t="n">
        <v>12</v>
      </c>
      <c r="C37" s="39" t="inlineStr">
        <is>
          <t>発炎筒 取付</t>
        </is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20" t="n">
        <v>1</v>
      </c>
      <c r="S37" s="16" t="n"/>
      <c r="T37" s="17" t="n"/>
      <c r="U37" s="15" t="n"/>
      <c r="V37" s="16" t="n"/>
      <c r="W37" s="17" t="n"/>
      <c r="X37" s="15" t="n"/>
      <c r="Y37" s="16" t="n"/>
      <c r="Z37" s="16" t="n"/>
      <c r="AA37" s="17" t="n"/>
      <c r="AB37" s="15" t="n"/>
      <c r="AC37" s="16" t="n"/>
      <c r="AD37" s="16" t="n"/>
      <c r="AE37" s="16" t="n"/>
      <c r="AF37" s="17" t="n"/>
      <c r="AG37" s="20" t="inlineStr">
        <is>
          <t>持込</t>
        </is>
      </c>
      <c r="AH37" s="16" t="n"/>
      <c r="AI37" s="16" t="n"/>
      <c r="AJ37" s="16" t="n"/>
      <c r="AK37" s="17" t="n"/>
    </row>
    <row r="38" ht="20.25" customHeight="1" s="41">
      <c r="B38" s="105" t="n">
        <v>13</v>
      </c>
      <c r="C38" s="39" t="inlineStr">
        <is>
          <t>フロントバンパークリップ 取付</t>
        </is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20" t="n">
        <v>1</v>
      </c>
      <c r="S38" s="16" t="n"/>
      <c r="T38" s="17" t="n"/>
      <c r="U38" s="15" t="n"/>
      <c r="V38" s="16" t="n"/>
      <c r="W38" s="17" t="n"/>
      <c r="X38" s="15" t="n"/>
      <c r="Y38" s="16" t="n"/>
      <c r="Z38" s="16" t="n"/>
      <c r="AA38" s="17" t="n"/>
      <c r="AB38" s="15" t="n"/>
      <c r="AC38" s="16" t="n"/>
      <c r="AD38" s="16" t="n"/>
      <c r="AE38" s="16" t="n"/>
      <c r="AF38" s="17" t="n"/>
      <c r="AG38" s="20" t="inlineStr">
        <is>
          <t>持込</t>
        </is>
      </c>
      <c r="AH38" s="16" t="n"/>
      <c r="AI38" s="16" t="n"/>
      <c r="AJ38" s="16" t="n"/>
      <c r="AK38" s="17" t="n"/>
    </row>
    <row r="39" ht="20.25" customHeight="1" s="41">
      <c r="B39" s="105" t="n">
        <v>14</v>
      </c>
      <c r="C39" s="39" t="inlineStr">
        <is>
          <t>アンダーカバークリップ 取付</t>
        </is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20" t="n">
        <v>2</v>
      </c>
      <c r="S39" s="16" t="n"/>
      <c r="T39" s="17" t="n"/>
      <c r="U39" s="15" t="n"/>
      <c r="V39" s="16" t="n"/>
      <c r="W39" s="17" t="n"/>
      <c r="X39" s="15" t="n"/>
      <c r="Y39" s="16" t="n"/>
      <c r="Z39" s="16" t="n"/>
      <c r="AA39" s="17" t="n"/>
      <c r="AB39" s="15" t="n"/>
      <c r="AC39" s="16" t="n"/>
      <c r="AD39" s="16" t="n"/>
      <c r="AE39" s="16" t="n"/>
      <c r="AF39" s="17" t="n"/>
      <c r="AG39" s="20" t="inlineStr">
        <is>
          <t>持込</t>
        </is>
      </c>
      <c r="AH39" s="16" t="n"/>
      <c r="AI39" s="16" t="n"/>
      <c r="AJ39" s="16" t="n"/>
      <c r="AK39" s="17" t="n"/>
    </row>
    <row r="40" ht="20.25" customHeight="1" s="41">
      <c r="B40" s="105" t="n">
        <v>15</v>
      </c>
      <c r="C40" s="39" t="inlineStr">
        <is>
          <t>スペアタイヤ・エアバルブ 取替</t>
        </is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20" t="n">
        <v>1</v>
      </c>
      <c r="S40" s="16" t="n"/>
      <c r="T40" s="17" t="n"/>
      <c r="U40" s="15" t="n">
        <v>1000</v>
      </c>
      <c r="V40" s="16" t="n"/>
      <c r="W40" s="17" t="n"/>
      <c r="X40" s="15" t="n">
        <v>1000</v>
      </c>
      <c r="Y40" s="16" t="n"/>
      <c r="Z40" s="16" t="n"/>
      <c r="AA40" s="17" t="n"/>
      <c r="AB40" s="15" t="n">
        <v>1000</v>
      </c>
      <c r="AC40" s="16" t="n"/>
      <c r="AD40" s="16" t="n"/>
      <c r="AE40" s="16" t="n"/>
      <c r="AF40" s="17" t="n"/>
      <c r="AG40" s="20" t="n"/>
      <c r="AH40" s="16" t="n"/>
      <c r="AI40" s="16" t="n"/>
      <c r="AJ40" s="16" t="n"/>
      <c r="AK40" s="17" t="n"/>
    </row>
    <row r="41" ht="20.25" customHeight="1" s="41">
      <c r="B41" s="105" t="n">
        <v>16</v>
      </c>
      <c r="C41" s="39" t="inlineStr">
        <is>
          <t>燃ポンプデリ・エアコンフィルター（スタンドにて）</t>
        </is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20" t="n"/>
      <c r="S41" s="16" t="n"/>
      <c r="T41" s="17" t="n"/>
      <c r="U41" s="15" t="n"/>
      <c r="V41" s="16" t="n"/>
      <c r="W41" s="17" t="n"/>
      <c r="X41" s="15" t="n"/>
      <c r="Y41" s="16" t="n"/>
      <c r="Z41" s="16" t="n"/>
      <c r="AA41" s="17" t="n"/>
      <c r="AB41" s="15" t="n">
        <v>-5245</v>
      </c>
      <c r="AC41" s="16" t="n"/>
      <c r="AD41" s="16" t="n"/>
      <c r="AE41" s="16" t="n"/>
      <c r="AF41" s="17" t="n"/>
      <c r="AG41" s="20" t="inlineStr">
        <is>
          <t>値引</t>
        </is>
      </c>
      <c r="AH41" s="16" t="n"/>
      <c r="AI41" s="16" t="n"/>
      <c r="AJ41" s="16" t="n"/>
      <c r="AK41" s="17" t="n"/>
    </row>
    <row r="42" ht="20.25" customHeight="1" s="41">
      <c r="B42" s="105" t="n">
        <v>17</v>
      </c>
      <c r="C42" s="39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20" t="n"/>
      <c r="S42" s="16" t="n"/>
      <c r="T42" s="17" t="n"/>
      <c r="U42" s="15" t="n"/>
      <c r="V42" s="16" t="n"/>
      <c r="W42" s="17" t="n"/>
      <c r="X42" s="15" t="n"/>
      <c r="Y42" s="16" t="n"/>
      <c r="Z42" s="16" t="n"/>
      <c r="AA42" s="17" t="n"/>
      <c r="AB42" s="15" t="n"/>
      <c r="AC42" s="16" t="n"/>
      <c r="AD42" s="16" t="n"/>
      <c r="AE42" s="16" t="n"/>
      <c r="AF42" s="17" t="n"/>
      <c r="AG42" s="20" t="n"/>
      <c r="AH42" s="16" t="n"/>
      <c r="AI42" s="16" t="n"/>
      <c r="AJ42" s="16" t="n"/>
      <c r="AK42" s="17" t="n"/>
    </row>
    <row r="43" ht="20.25" customHeight="1" s="41">
      <c r="B43" s="105" t="n">
        <v>18</v>
      </c>
      <c r="C43" s="39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20" t="n"/>
      <c r="S43" s="16" t="n"/>
      <c r="T43" s="17" t="n"/>
      <c r="U43" s="15" t="n"/>
      <c r="V43" s="16" t="n"/>
      <c r="W43" s="17" t="n"/>
      <c r="X43" s="15" t="n"/>
      <c r="Y43" s="16" t="n"/>
      <c r="Z43" s="16" t="n"/>
      <c r="AA43" s="17" t="n"/>
      <c r="AB43" s="15" t="n"/>
      <c r="AC43" s="16" t="n"/>
      <c r="AD43" s="16" t="n"/>
      <c r="AE43" s="16" t="n"/>
      <c r="AF43" s="17" t="n"/>
      <c r="AG43" s="20" t="n"/>
      <c r="AH43" s="16" t="n"/>
      <c r="AI43" s="16" t="n"/>
      <c r="AJ43" s="16" t="n"/>
      <c r="AK43" s="17" t="n"/>
    </row>
    <row r="44" ht="20.25" customHeight="1" s="41">
      <c r="B44" s="105" t="n">
        <v>19</v>
      </c>
      <c r="C44" s="39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20" t="n"/>
      <c r="S44" s="16" t="n"/>
      <c r="T44" s="17" t="n"/>
      <c r="U44" s="15" t="n"/>
      <c r="V44" s="16" t="n"/>
      <c r="W44" s="17" t="n"/>
      <c r="X44" s="15" t="n"/>
      <c r="Y44" s="16" t="n"/>
      <c r="Z44" s="16" t="n"/>
      <c r="AA44" s="17" t="n"/>
      <c r="AB44" s="15" t="n"/>
      <c r="AC44" s="16" t="n"/>
      <c r="AD44" s="16" t="n"/>
      <c r="AE44" s="16" t="n"/>
      <c r="AF44" s="17" t="n"/>
      <c r="AG44" s="20" t="n"/>
      <c r="AH44" s="16" t="n"/>
      <c r="AI44" s="16" t="n"/>
      <c r="AJ44" s="16" t="n"/>
      <c r="AK44" s="17" t="n"/>
    </row>
    <row r="45" ht="20.25" customHeight="1" s="41">
      <c r="B45" s="105" t="n">
        <v>20</v>
      </c>
      <c r="C45" s="39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20" t="n"/>
      <c r="S45" s="16" t="n"/>
      <c r="T45" s="17" t="n"/>
      <c r="U45" s="15" t="n"/>
      <c r="V45" s="16" t="n"/>
      <c r="W45" s="17" t="n"/>
      <c r="X45" s="15" t="n"/>
      <c r="Y45" s="16" t="n"/>
      <c r="Z45" s="16" t="n"/>
      <c r="AA45" s="17" t="n"/>
      <c r="AB45" s="15" t="n"/>
      <c r="AC45" s="16" t="n"/>
      <c r="AD45" s="16" t="n"/>
      <c r="AE45" s="16" t="n"/>
      <c r="AF45" s="17" t="n"/>
      <c r="AG45" s="20" t="n"/>
      <c r="AH45" s="16" t="n"/>
      <c r="AI45" s="16" t="n"/>
      <c r="AJ45" s="16" t="n"/>
      <c r="AK45" s="17" t="n"/>
    </row>
    <row r="46" ht="20.25" customHeight="1" s="41">
      <c r="B46" s="6" t="inlineStr">
        <is>
          <t>※</t>
        </is>
      </c>
      <c r="C46" s="12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 t="n"/>
      <c r="R46" s="24" t="inlineStr">
        <is>
          <t>小計金額</t>
        </is>
      </c>
      <c r="S46" s="13" t="n"/>
      <c r="T46" s="13" t="n"/>
      <c r="U46" s="13" t="n"/>
      <c r="V46" s="13" t="n"/>
      <c r="W46" s="14" t="n"/>
      <c r="X46" s="96">
        <f>SUM(X26:AA45)</f>
        <v/>
      </c>
      <c r="Y46" s="13" t="n"/>
      <c r="Z46" s="13" t="n"/>
      <c r="AA46" s="14" t="n"/>
      <c r="AB46" s="96">
        <f>SUM(AB26:AF45)</f>
        <v/>
      </c>
      <c r="AC46" s="13" t="n"/>
      <c r="AD46" s="13" t="n"/>
      <c r="AE46" s="13" t="n"/>
      <c r="AF46" s="14" t="n"/>
      <c r="AG46" s="12" t="n"/>
      <c r="AH46" s="13" t="n"/>
      <c r="AI46" s="13" t="n"/>
      <c r="AJ46" s="13" t="n"/>
      <c r="AK46" s="14" t="n"/>
    </row>
    <row r="48">
      <c r="B48" s="93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8" t="n"/>
    </row>
    <row r="49">
      <c r="B49" s="83" t="n"/>
      <c r="AK49" s="71" t="n"/>
    </row>
    <row r="50">
      <c r="B50" s="75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60" t="n"/>
    </row>
  </sheetData>
  <mergeCells count="196">
    <mergeCell ref="C25:Q25"/>
    <mergeCell ref="X26:AA26"/>
    <mergeCell ref="X41:AA41"/>
    <mergeCell ref="X35:AA35"/>
    <mergeCell ref="U32:W32"/>
    <mergeCell ref="AG29:AK29"/>
    <mergeCell ref="R27:T27"/>
    <mergeCell ref="R36:T36"/>
    <mergeCell ref="U37:W37"/>
    <mergeCell ref="R45:T45"/>
    <mergeCell ref="B48:AK48"/>
    <mergeCell ref="G18:N19"/>
    <mergeCell ref="X25:AA25"/>
    <mergeCell ref="AG44:AK44"/>
    <mergeCell ref="AB41:AF41"/>
    <mergeCell ref="M21:O21"/>
    <mergeCell ref="AG31:AK31"/>
    <mergeCell ref="AB35:AF35"/>
    <mergeCell ref="X8:AK8"/>
    <mergeCell ref="R42:T42"/>
    <mergeCell ref="X9:AA9"/>
    <mergeCell ref="C46:Q46"/>
    <mergeCell ref="X27:AA27"/>
    <mergeCell ref="B11:F11"/>
    <mergeCell ref="AB25:AF25"/>
    <mergeCell ref="P22:R23"/>
    <mergeCell ref="C39:Q39"/>
    <mergeCell ref="AB27:AF27"/>
    <mergeCell ref="AB36:AF36"/>
    <mergeCell ref="B49:AK49"/>
    <mergeCell ref="C32:Q32"/>
    <mergeCell ref="C38:Q38"/>
    <mergeCell ref="F6:U6"/>
    <mergeCell ref="AB12:AD13"/>
    <mergeCell ref="B21:E21"/>
    <mergeCell ref="U35:W35"/>
    <mergeCell ref="U44:W44"/>
    <mergeCell ref="V21:X21"/>
    <mergeCell ref="X37:AA37"/>
    <mergeCell ref="U34:W34"/>
    <mergeCell ref="R38:T38"/>
    <mergeCell ref="B50:AK50"/>
    <mergeCell ref="AD22:AG23"/>
    <mergeCell ref="Z21:AC21"/>
    <mergeCell ref="U27:W27"/>
    <mergeCell ref="AG33:AK33"/>
    <mergeCell ref="U36:W36"/>
    <mergeCell ref="X42:AA42"/>
    <mergeCell ref="AG42:AK42"/>
    <mergeCell ref="B7:E8"/>
    <mergeCell ref="U30:W30"/>
    <mergeCell ref="R40:T40"/>
    <mergeCell ref="X29:AA29"/>
    <mergeCell ref="F21:H21"/>
    <mergeCell ref="C26:Q26"/>
    <mergeCell ref="AH22:AK23"/>
    <mergeCell ref="X38:AA38"/>
    <mergeCell ref="AG35:AK35"/>
    <mergeCell ref="V22:X23"/>
    <mergeCell ref="F9:U9"/>
    <mergeCell ref="AG34:AK34"/>
    <mergeCell ref="AG25:AK25"/>
    <mergeCell ref="G15:Q16"/>
    <mergeCell ref="R26:T26"/>
    <mergeCell ref="S22:U23"/>
    <mergeCell ref="B15:F16"/>
    <mergeCell ref="R35:T35"/>
    <mergeCell ref="AB32:AF32"/>
    <mergeCell ref="AB26:AF26"/>
    <mergeCell ref="AB40:AF40"/>
    <mergeCell ref="AG12:AK13"/>
    <mergeCell ref="X7:AK7"/>
    <mergeCell ref="C36:Q36"/>
    <mergeCell ref="X43:AA43"/>
    <mergeCell ref="X40:AA40"/>
    <mergeCell ref="U38:W38"/>
    <mergeCell ref="AB43:AF43"/>
    <mergeCell ref="S7:U8"/>
    <mergeCell ref="AG45:AK45"/>
    <mergeCell ref="C28:Q28"/>
    <mergeCell ref="S18:AK18"/>
    <mergeCell ref="C37:Q37"/>
    <mergeCell ref="U26:W26"/>
    <mergeCell ref="R39:T39"/>
    <mergeCell ref="U40:W40"/>
    <mergeCell ref="F22:H23"/>
    <mergeCell ref="B5:E6"/>
    <mergeCell ref="X34:AA34"/>
    <mergeCell ref="X28:AA28"/>
    <mergeCell ref="C30:Q30"/>
    <mergeCell ref="R29:T29"/>
    <mergeCell ref="B12:F13"/>
    <mergeCell ref="B22:E23"/>
    <mergeCell ref="AB34:AF34"/>
    <mergeCell ref="X12:AA13"/>
    <mergeCell ref="X30:AA30"/>
    <mergeCell ref="AB28:AF28"/>
    <mergeCell ref="AD15:AE16"/>
    <mergeCell ref="AB37:AF37"/>
    <mergeCell ref="R31:T31"/>
    <mergeCell ref="X45:AA45"/>
    <mergeCell ref="P21:R21"/>
    <mergeCell ref="F5:K5"/>
    <mergeCell ref="J22:L23"/>
    <mergeCell ref="AG26:AK26"/>
    <mergeCell ref="U25:W25"/>
    <mergeCell ref="R37:T37"/>
    <mergeCell ref="AB30:AF30"/>
    <mergeCell ref="C41:Q41"/>
    <mergeCell ref="G11:Q11"/>
    <mergeCell ref="AG41:AK41"/>
    <mergeCell ref="AB29:AF29"/>
    <mergeCell ref="X31:AA31"/>
    <mergeCell ref="X46:AA46"/>
    <mergeCell ref="C43:Q43"/>
    <mergeCell ref="Z22:AC23"/>
    <mergeCell ref="U28:W28"/>
    <mergeCell ref="R41:T41"/>
    <mergeCell ref="C27:Q27"/>
    <mergeCell ref="X39:AA39"/>
    <mergeCell ref="AH21:AK21"/>
    <mergeCell ref="AG27:AK27"/>
    <mergeCell ref="AB46:AF46"/>
    <mergeCell ref="AG36:AK36"/>
    <mergeCell ref="U39:W39"/>
    <mergeCell ref="R43:T43"/>
    <mergeCell ref="X32:AA32"/>
    <mergeCell ref="U29:W29"/>
    <mergeCell ref="R33:T33"/>
    <mergeCell ref="X15:AC16"/>
    <mergeCell ref="X14:AE14"/>
    <mergeCell ref="AB38:AF38"/>
    <mergeCell ref="AG28:AK28"/>
    <mergeCell ref="U31:W31"/>
    <mergeCell ref="C34:Q34"/>
    <mergeCell ref="AG37:AK37"/>
    <mergeCell ref="B18:F19"/>
    <mergeCell ref="R44:T44"/>
    <mergeCell ref="S21:U21"/>
    <mergeCell ref="L5:U5"/>
    <mergeCell ref="R28:T28"/>
    <mergeCell ref="AG39:AK39"/>
    <mergeCell ref="AG30:AK30"/>
    <mergeCell ref="C45:Q45"/>
    <mergeCell ref="B2:X3"/>
    <mergeCell ref="AB33:AF33"/>
    <mergeCell ref="R25:T25"/>
    <mergeCell ref="AB42:AF42"/>
    <mergeCell ref="C29:Q29"/>
    <mergeCell ref="R30:T30"/>
    <mergeCell ref="B9:E9"/>
    <mergeCell ref="S19:AK19"/>
    <mergeCell ref="AG38:AK38"/>
    <mergeCell ref="U41:W41"/>
    <mergeCell ref="C44:Q44"/>
    <mergeCell ref="C31:Q31"/>
    <mergeCell ref="X11:AK11"/>
    <mergeCell ref="C40:Q40"/>
    <mergeCell ref="AG46:AK46"/>
    <mergeCell ref="AB45:AF45"/>
    <mergeCell ref="X5:AK6"/>
    <mergeCell ref="AG40:AK40"/>
    <mergeCell ref="U43:W43"/>
    <mergeCell ref="X44:AA44"/>
    <mergeCell ref="X36:AA36"/>
    <mergeCell ref="R32:T32"/>
    <mergeCell ref="U33:W33"/>
    <mergeCell ref="AD21:AG21"/>
    <mergeCell ref="U42:W42"/>
    <mergeCell ref="AB44:AF44"/>
    <mergeCell ref="B14:F14"/>
    <mergeCell ref="AG32:AK32"/>
    <mergeCell ref="AB31:AF31"/>
    <mergeCell ref="J21:L21"/>
    <mergeCell ref="AB2:AK3"/>
    <mergeCell ref="R46:W46"/>
    <mergeCell ref="R15:W16"/>
    <mergeCell ref="AB39:AF39"/>
    <mergeCell ref="G12:Q13"/>
    <mergeCell ref="R18:R19"/>
    <mergeCell ref="M22:O23"/>
    <mergeCell ref="O18:P19"/>
    <mergeCell ref="R14:W14"/>
    <mergeCell ref="R12:W13"/>
    <mergeCell ref="G14:Q14"/>
    <mergeCell ref="R11:W11"/>
    <mergeCell ref="AE12:AF13"/>
    <mergeCell ref="C33:Q33"/>
    <mergeCell ref="AB9:AK9"/>
    <mergeCell ref="C42:Q42"/>
    <mergeCell ref="U45:W45"/>
    <mergeCell ref="AG43:AK43"/>
    <mergeCell ref="X33:AA33"/>
    <mergeCell ref="C35:Q35"/>
    <mergeCell ref="R34:T34"/>
    <mergeCell ref="F7:R8"/>
  </mergeCells>
  <printOptions horizontalCentered="1"/>
  <pageMargins left="0.19" right="0.18" top="0.4" bottom="0.19" header="0.3" footer="0.3"/>
  <pageSetup orientation="portrait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50"/>
  <sheetViews>
    <sheetView showZeros="0" topLeftCell="A10" zoomScale="70" zoomScaleNormal="70" workbookViewId="0">
      <selection activeCell="A1" sqref="A1"/>
    </sheetView>
  </sheetViews>
  <sheetFormatPr baseColWidth="8" defaultColWidth="2.625" defaultRowHeight="13.5"/>
  <cols>
    <col width="4.375" customWidth="1" style="41" min="1" max="1"/>
    <col width="4.25" customWidth="1" style="41" min="2" max="2"/>
    <col width="2.625" customWidth="1" style="41" min="3" max="3"/>
  </cols>
  <sheetData>
    <row r="2">
      <c r="B2" s="40" t="inlineStr">
        <is>
          <t>請求書</t>
        </is>
      </c>
      <c r="AB2" s="50">
        <f>TODAY()</f>
        <v/>
      </c>
    </row>
    <row r="3"/>
    <row r="4" ht="21" customHeight="1" s="41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20.25" customHeight="1" s="41">
      <c r="B5" s="65" t="inlineStr">
        <is>
          <t>ご住所</t>
        </is>
      </c>
      <c r="C5" s="37" t="n"/>
      <c r="D5" s="37" t="n"/>
      <c r="E5" s="37" t="n"/>
      <c r="F5" s="107">
        <f>控え!F5</f>
        <v/>
      </c>
      <c r="G5" s="37" t="n"/>
      <c r="H5" s="37" t="n"/>
      <c r="I5" s="37" t="n"/>
      <c r="J5" s="37" t="n"/>
      <c r="K5" s="37" t="n"/>
      <c r="L5" s="36" t="n"/>
      <c r="M5" s="37" t="n"/>
      <c r="N5" s="37" t="n"/>
      <c r="O5" s="37" t="n"/>
      <c r="P5" s="37" t="n"/>
      <c r="Q5" s="37" t="n"/>
      <c r="R5" s="37" t="n"/>
      <c r="S5" s="37" t="n"/>
      <c r="T5" s="37" t="n"/>
      <c r="U5" s="38" t="n"/>
      <c r="X5" s="18" t="inlineStr">
        <is>
          <t>三和商事株式会社
豊岡サービスステーション</t>
        </is>
      </c>
    </row>
    <row r="6" ht="20.25" customHeight="1" s="41">
      <c r="B6" s="66" t="n"/>
      <c r="C6" s="11" t="n"/>
      <c r="D6" s="11" t="n"/>
      <c r="E6" s="11" t="n"/>
      <c r="F6" s="113">
        <f>控え!F6</f>
        <v/>
      </c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85" t="n"/>
    </row>
    <row r="7" ht="20.25" customHeight="1" s="41">
      <c r="B7" s="77" t="inlineStr">
        <is>
          <t>お名前</t>
        </is>
      </c>
      <c r="C7" s="10" t="n"/>
      <c r="D7" s="10" t="n"/>
      <c r="E7" s="10" t="n"/>
      <c r="F7" s="103">
        <f>控え!F7</f>
        <v/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92" t="inlineStr">
        <is>
          <t>様</t>
        </is>
      </c>
      <c r="T7" s="10" t="n"/>
      <c r="U7" s="89" t="n"/>
      <c r="X7" s="90" t="inlineStr">
        <is>
          <t>〒668-0052　豊岡市九日市下町131</t>
        </is>
      </c>
    </row>
    <row r="8" ht="20.25" customHeight="1" s="41">
      <c r="B8" s="6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85" t="n"/>
      <c r="X8" s="90" t="inlineStr">
        <is>
          <t>TEL　0796-23-2030</t>
        </is>
      </c>
    </row>
    <row r="9" ht="20.25" customHeight="1" s="41">
      <c r="B9" s="42" t="inlineStr">
        <is>
          <t>TEL</t>
        </is>
      </c>
      <c r="C9" s="13" t="n"/>
      <c r="D9" s="13" t="n"/>
      <c r="E9" s="13" t="n"/>
      <c r="F9" s="114">
        <f>控え!F9</f>
        <v/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87" t="n"/>
      <c r="X9" s="90" t="inlineStr">
        <is>
          <t>担当</t>
        </is>
      </c>
      <c r="AB9" s="102">
        <f>控え!AB9</f>
        <v/>
      </c>
    </row>
    <row r="11">
      <c r="B11" s="91" t="inlineStr">
        <is>
          <t>車名</t>
        </is>
      </c>
      <c r="C11" s="22" t="n"/>
      <c r="D11" s="22" t="n"/>
      <c r="E11" s="22" t="n"/>
      <c r="F11" s="23" t="n"/>
      <c r="G11" s="32" t="inlineStr">
        <is>
          <t>車種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 t="n"/>
      <c r="R11" s="32" t="inlineStr">
        <is>
          <t>初年度登録</t>
        </is>
      </c>
      <c r="S11" s="22" t="n"/>
      <c r="T11" s="22" t="n"/>
      <c r="U11" s="22" t="n"/>
      <c r="V11" s="22" t="n"/>
      <c r="W11" s="23" t="n"/>
      <c r="X11" s="46" t="inlineStr">
        <is>
          <t>登録番号</t>
        </is>
      </c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47" t="n"/>
    </row>
    <row r="12" ht="10.5" customHeight="1" s="41">
      <c r="B12" s="105">
        <f>控え!B12</f>
        <v/>
      </c>
      <c r="C12" s="10" t="n"/>
      <c r="D12" s="10" t="n"/>
      <c r="E12" s="10" t="n"/>
      <c r="F12" s="26" t="n"/>
      <c r="G12" s="99">
        <f>控え!G12</f>
        <v/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6" t="n"/>
      <c r="R12" s="99">
        <f>控え!R12</f>
        <v/>
      </c>
      <c r="S12" s="10" t="n"/>
      <c r="T12" s="10" t="n"/>
      <c r="U12" s="10" t="n"/>
      <c r="V12" s="10" t="n"/>
      <c r="W12" s="26" t="n"/>
      <c r="X12" s="106">
        <f>控え!X12</f>
        <v/>
      </c>
      <c r="Y12" s="10" t="n"/>
      <c r="Z12" s="10" t="n"/>
      <c r="AA12" s="10" t="n"/>
      <c r="AB12" s="100">
        <f>控え!AB12</f>
        <v/>
      </c>
      <c r="AE12" s="100">
        <f>控え!AE12</f>
        <v/>
      </c>
      <c r="AG12" s="115">
        <f>控え!AG12</f>
        <v/>
      </c>
      <c r="AH12" s="10" t="n"/>
      <c r="AI12" s="10" t="n"/>
      <c r="AJ12" s="10" t="n"/>
      <c r="AK12" s="89" t="n"/>
    </row>
    <row r="13" ht="10.5" customHeight="1" s="41">
      <c r="B13" s="66" t="n"/>
      <c r="C13" s="11" t="n"/>
      <c r="D13" s="11" t="n"/>
      <c r="E13" s="11" t="n"/>
      <c r="F13" s="28" t="n"/>
      <c r="G13" s="27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28" t="n"/>
      <c r="R13" s="27" t="n"/>
      <c r="S13" s="11" t="n"/>
      <c r="T13" s="11" t="n"/>
      <c r="U13" s="11" t="n"/>
      <c r="V13" s="11" t="n"/>
      <c r="W13" s="28" t="n"/>
      <c r="X13" s="27" t="n"/>
      <c r="Y13" s="11" t="n"/>
      <c r="Z13" s="11" t="n"/>
      <c r="AA13" s="11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60" t="n"/>
    </row>
    <row r="14">
      <c r="B14" s="48" t="inlineStr">
        <is>
          <t>型式</t>
        </is>
      </c>
      <c r="C14" s="16" t="n"/>
      <c r="D14" s="16" t="n"/>
      <c r="E14" s="16" t="n"/>
      <c r="F14" s="17" t="n"/>
      <c r="G14" s="31" t="inlineStr">
        <is>
          <t>車体番号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31" t="inlineStr">
        <is>
          <t>次回車検日</t>
        </is>
      </c>
      <c r="S14" s="16" t="n"/>
      <c r="T14" s="16" t="n"/>
      <c r="U14" s="16" t="n"/>
      <c r="V14" s="16" t="n"/>
      <c r="W14" s="17" t="n"/>
      <c r="X14" s="54" t="inlineStr">
        <is>
          <t>走行距離</t>
        </is>
      </c>
      <c r="Y14" s="16" t="n"/>
      <c r="Z14" s="16" t="n"/>
      <c r="AA14" s="16" t="n"/>
      <c r="AB14" s="16" t="n"/>
      <c r="AC14" s="16" t="n"/>
      <c r="AD14" s="16" t="n"/>
      <c r="AE14" s="55" t="n"/>
      <c r="AF14" s="90" t="n"/>
      <c r="AG14" s="90" t="n"/>
    </row>
    <row r="15" ht="10.5" customHeight="1" s="41">
      <c r="B15" s="111">
        <f>控え!B15</f>
        <v/>
      </c>
      <c r="C15" s="10" t="n"/>
      <c r="D15" s="10" t="n"/>
      <c r="E15" s="10" t="n"/>
      <c r="F15" s="26" t="n"/>
      <c r="G15" s="99">
        <f>控え!G15</f>
        <v/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6" t="n"/>
      <c r="R15" s="97">
        <f>控え!R15</f>
        <v/>
      </c>
      <c r="S15" s="10" t="n"/>
      <c r="T15" s="10" t="n"/>
      <c r="U15" s="10" t="n"/>
      <c r="V15" s="10" t="n"/>
      <c r="W15" s="26" t="n"/>
      <c r="X15" s="104">
        <f>控え!X15</f>
        <v/>
      </c>
      <c r="Y15" s="10" t="n"/>
      <c r="Z15" s="10" t="n"/>
      <c r="AA15" s="10" t="n"/>
      <c r="AB15" s="10" t="n"/>
      <c r="AC15" s="10" t="n"/>
      <c r="AD15" s="70" t="inlineStr">
        <is>
          <t>ｋｍ</t>
        </is>
      </c>
      <c r="AE15" s="71" t="n"/>
      <c r="AF15" s="90" t="n"/>
      <c r="AG15" s="90" t="n"/>
    </row>
    <row r="16" ht="10.5" customHeight="1" s="41">
      <c r="B16" s="66" t="n"/>
      <c r="C16" s="11" t="n"/>
      <c r="D16" s="11" t="n"/>
      <c r="E16" s="11" t="n"/>
      <c r="F16" s="28" t="n"/>
      <c r="G16" s="27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 t="n"/>
      <c r="R16" s="27" t="n"/>
      <c r="S16" s="11" t="n"/>
      <c r="T16" s="11" t="n"/>
      <c r="U16" s="11" t="n"/>
      <c r="V16" s="11" t="n"/>
      <c r="W16" s="28" t="n"/>
      <c r="X16" s="53" t="n"/>
      <c r="Y16" s="34" t="n"/>
      <c r="Z16" s="34" t="n"/>
      <c r="AA16" s="34" t="n"/>
      <c r="AB16" s="34" t="n"/>
      <c r="AC16" s="34" t="n"/>
      <c r="AD16" s="34" t="n"/>
      <c r="AE16" s="60" t="n"/>
      <c r="AF16" s="90" t="n"/>
      <c r="AG16" s="90" t="n"/>
    </row>
    <row r="17" ht="14.25" customHeight="1" s="41"/>
    <row r="18" ht="19.5" customHeight="1" s="41">
      <c r="B18" s="56" t="inlineStr">
        <is>
          <t>ご請求金額</t>
        </is>
      </c>
      <c r="C18" s="57" t="n"/>
      <c r="D18" s="57" t="n"/>
      <c r="E18" s="57" t="n"/>
      <c r="F18" s="58" t="n"/>
      <c r="G18" s="94">
        <f>控え!G18</f>
        <v/>
      </c>
      <c r="H18" s="57" t="n"/>
      <c r="I18" s="57" t="n"/>
      <c r="J18" s="57" t="n"/>
      <c r="K18" s="57" t="n"/>
      <c r="L18" s="57" t="n"/>
      <c r="M18" s="57" t="n"/>
      <c r="N18" s="57" t="n"/>
      <c r="O18" s="61" t="inlineStr">
        <is>
          <t>円</t>
        </is>
      </c>
      <c r="P18" s="62" t="n"/>
    </row>
    <row r="19" ht="19.5" customHeight="1" s="41">
      <c r="B19" s="59" t="n"/>
      <c r="C19" s="34" t="n"/>
      <c r="D19" s="34" t="n"/>
      <c r="E19" s="34" t="n"/>
      <c r="F19" s="60" t="n"/>
      <c r="G19" s="95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4" t="n"/>
    </row>
    <row r="21">
      <c r="B21" s="49" t="inlineStr">
        <is>
          <t>整備合計</t>
        </is>
      </c>
      <c r="C21" s="22" t="n"/>
      <c r="D21" s="22" t="n"/>
      <c r="E21" s="23" t="n"/>
      <c r="F21" s="78" t="inlineStr">
        <is>
          <t>消費税（10％）</t>
        </is>
      </c>
      <c r="G21" s="22" t="n"/>
      <c r="H21" s="23" t="n"/>
      <c r="I21" s="3" t="n"/>
      <c r="J21" s="49" t="inlineStr">
        <is>
          <t>自賠責</t>
        </is>
      </c>
      <c r="K21" s="22" t="n"/>
      <c r="L21" s="23" t="n"/>
      <c r="M21" s="21" t="inlineStr">
        <is>
          <t>重量税</t>
        </is>
      </c>
      <c r="N21" s="22" t="n"/>
      <c r="O21" s="23" t="n"/>
      <c r="P21" s="21" t="inlineStr">
        <is>
          <t>印紙税等</t>
        </is>
      </c>
      <c r="Q21" s="22" t="n"/>
      <c r="R21" s="23" t="n"/>
      <c r="S21" s="21" t="inlineStr">
        <is>
          <t>その他</t>
        </is>
      </c>
      <c r="T21" s="22" t="n"/>
      <c r="U21" s="23" t="n"/>
      <c r="V21" s="21" t="inlineStr">
        <is>
          <t>諸費用計</t>
        </is>
      </c>
      <c r="W21" s="22" t="n"/>
      <c r="X21" s="23" t="n"/>
      <c r="Y21" s="3" t="n"/>
      <c r="Z21" s="49" t="inlineStr">
        <is>
          <t>合計金額</t>
        </is>
      </c>
      <c r="AA21" s="22" t="n"/>
      <c r="AB21" s="22" t="n"/>
      <c r="AC21" s="23" t="n"/>
      <c r="AD21" s="21" t="inlineStr">
        <is>
          <t>調整額</t>
        </is>
      </c>
      <c r="AE21" s="22" t="n"/>
      <c r="AF21" s="22" t="n"/>
      <c r="AG21" s="23" t="n"/>
      <c r="AH21" s="21" t="inlineStr">
        <is>
          <t>請求金額</t>
        </is>
      </c>
      <c r="AI21" s="22" t="n"/>
      <c r="AJ21" s="22" t="n"/>
      <c r="AK21" s="23" t="n"/>
    </row>
    <row r="22" ht="11.25" customHeight="1" s="41">
      <c r="B22" s="74">
        <f>控え!B22</f>
        <v/>
      </c>
      <c r="C22" s="10" t="n"/>
      <c r="D22" s="10" t="n"/>
      <c r="E22" s="26" t="n"/>
      <c r="F22" s="80">
        <f>控え!F22</f>
        <v/>
      </c>
      <c r="G22" s="10" t="n"/>
      <c r="H22" s="26" t="n"/>
      <c r="I22" s="3" t="n"/>
      <c r="J22" s="108">
        <f>控え!J22</f>
        <v/>
      </c>
      <c r="K22" s="10" t="n"/>
      <c r="L22" s="26" t="n"/>
      <c r="M22" s="80">
        <f>控え!M22</f>
        <v/>
      </c>
      <c r="N22" s="10" t="n"/>
      <c r="O22" s="26" t="n"/>
      <c r="P22" s="80">
        <f>控え!P22</f>
        <v/>
      </c>
      <c r="Q22" s="10" t="n"/>
      <c r="R22" s="26" t="n"/>
      <c r="S22" s="80">
        <f>控え!S22</f>
        <v/>
      </c>
      <c r="T22" s="10" t="n"/>
      <c r="U22" s="26" t="n"/>
      <c r="V22" s="80">
        <f>控え!V22</f>
        <v/>
      </c>
      <c r="W22" s="10" t="n"/>
      <c r="X22" s="26" t="n"/>
      <c r="Y22" s="3" t="n"/>
      <c r="Z22" s="74">
        <f>控え!Z22</f>
        <v/>
      </c>
      <c r="AA22" s="10" t="n"/>
      <c r="AB22" s="10" t="n"/>
      <c r="AC22" s="26" t="n"/>
      <c r="AD22" s="110">
        <f>控え!AD22</f>
        <v/>
      </c>
      <c r="AE22" s="10" t="n"/>
      <c r="AF22" s="10" t="n"/>
      <c r="AG22" s="26" t="n"/>
      <c r="AH22" s="79">
        <f>控え!AH22</f>
        <v/>
      </c>
      <c r="AI22" s="10" t="n"/>
      <c r="AJ22" s="10" t="n"/>
      <c r="AK22" s="26" t="n"/>
    </row>
    <row r="23" ht="11.25" customHeight="1" s="41">
      <c r="B23" s="66" t="n"/>
      <c r="C23" s="11" t="n"/>
      <c r="D23" s="11" t="n"/>
      <c r="E23" s="28" t="n"/>
      <c r="F23" s="27" t="n"/>
      <c r="G23" s="11" t="n"/>
      <c r="H23" s="28" t="n"/>
      <c r="I23" s="3" t="n"/>
      <c r="J23" s="66" t="n"/>
      <c r="K23" s="11" t="n"/>
      <c r="L23" s="28" t="n"/>
      <c r="M23" s="27" t="n"/>
      <c r="N23" s="11" t="n"/>
      <c r="O23" s="28" t="n"/>
      <c r="P23" s="27" t="n"/>
      <c r="Q23" s="11" t="n"/>
      <c r="R23" s="28" t="n"/>
      <c r="S23" s="27" t="n"/>
      <c r="T23" s="11" t="n"/>
      <c r="U23" s="28" t="n"/>
      <c r="V23" s="27" t="n"/>
      <c r="W23" s="11" t="n"/>
      <c r="X23" s="28" t="n"/>
      <c r="Y23" s="3" t="n"/>
      <c r="Z23" s="66" t="n"/>
      <c r="AA23" s="11" t="n"/>
      <c r="AB23" s="11" t="n"/>
      <c r="AC23" s="28" t="n"/>
      <c r="AD23" s="27" t="n"/>
      <c r="AE23" s="11" t="n"/>
      <c r="AF23" s="11" t="n"/>
      <c r="AG23" s="28" t="n"/>
      <c r="AH23" s="27" t="n"/>
      <c r="AI23" s="11" t="n"/>
      <c r="AJ23" s="11" t="n"/>
      <c r="AK23" s="28" t="n"/>
    </row>
    <row r="25" ht="20.25" customHeight="1" s="41">
      <c r="B25" s="91" t="inlineStr">
        <is>
          <t>№</t>
        </is>
      </c>
      <c r="C25" s="32" t="inlineStr">
        <is>
          <t>作業内容・部品名等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3" t="n"/>
      <c r="R25" s="32" t="inlineStr">
        <is>
          <t>数量</t>
        </is>
      </c>
      <c r="S25" s="22" t="n"/>
      <c r="T25" s="23" t="n"/>
      <c r="U25" s="32" t="inlineStr">
        <is>
          <t>単価</t>
        </is>
      </c>
      <c r="V25" s="22" t="n"/>
      <c r="W25" s="23" t="n"/>
      <c r="X25" s="32" t="inlineStr">
        <is>
          <t>部品金額</t>
        </is>
      </c>
      <c r="Y25" s="22" t="n"/>
      <c r="Z25" s="22" t="n"/>
      <c r="AA25" s="23" t="n"/>
      <c r="AB25" s="32" t="inlineStr">
        <is>
          <t>技術料・他</t>
        </is>
      </c>
      <c r="AC25" s="22" t="n"/>
      <c r="AD25" s="22" t="n"/>
      <c r="AE25" s="22" t="n"/>
      <c r="AF25" s="23" t="n"/>
      <c r="AG25" s="32" t="inlineStr">
        <is>
          <t>摘要</t>
        </is>
      </c>
      <c r="AH25" s="22" t="n"/>
      <c r="AI25" s="22" t="n"/>
      <c r="AJ25" s="22" t="n"/>
      <c r="AK25" s="23" t="n"/>
    </row>
    <row r="26" ht="20.25" customHeight="1" s="41">
      <c r="B26" s="105" t="n">
        <v>1</v>
      </c>
      <c r="C26" s="101">
        <f>控え!C26</f>
        <v/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99">
        <f>控え!R26</f>
        <v/>
      </c>
      <c r="S26" s="16" t="n"/>
      <c r="T26" s="17" t="n"/>
      <c r="U26" s="98">
        <f>控え!U26</f>
        <v/>
      </c>
      <c r="V26" s="16" t="n"/>
      <c r="W26" s="17" t="n"/>
      <c r="X26" s="98">
        <f>控え!X26</f>
        <v/>
      </c>
      <c r="Y26" s="16" t="n"/>
      <c r="Z26" s="16" t="n"/>
      <c r="AA26" s="17" t="n"/>
      <c r="AB26" s="98">
        <f>控え!AB26</f>
        <v/>
      </c>
      <c r="AC26" s="16" t="n"/>
      <c r="AD26" s="16" t="n"/>
      <c r="AE26" s="16" t="n"/>
      <c r="AF26" s="17" t="n"/>
      <c r="AG26" s="99">
        <f>控え!AG26</f>
        <v/>
      </c>
      <c r="AH26" s="16" t="n"/>
      <c r="AI26" s="16" t="n"/>
      <c r="AJ26" s="16" t="n"/>
      <c r="AK26" s="17" t="n"/>
    </row>
    <row r="27" ht="20.25" customHeight="1" s="41">
      <c r="B27" s="105" t="n">
        <v>2</v>
      </c>
      <c r="C27" s="101">
        <f>控え!C27</f>
        <v/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99">
        <f>控え!R27</f>
        <v/>
      </c>
      <c r="S27" s="16" t="n"/>
      <c r="T27" s="17" t="n"/>
      <c r="U27" s="98">
        <f>控え!U27</f>
        <v/>
      </c>
      <c r="V27" s="16" t="n"/>
      <c r="W27" s="17" t="n"/>
      <c r="X27" s="98">
        <f>控え!X27</f>
        <v/>
      </c>
      <c r="Y27" s="16" t="n"/>
      <c r="Z27" s="16" t="n"/>
      <c r="AA27" s="17" t="n"/>
      <c r="AB27" s="98">
        <f>控え!AB27</f>
        <v/>
      </c>
      <c r="AC27" s="16" t="n"/>
      <c r="AD27" s="16" t="n"/>
      <c r="AE27" s="16" t="n"/>
      <c r="AF27" s="17" t="n"/>
      <c r="AG27" s="99">
        <f>控え!AG27</f>
        <v/>
      </c>
      <c r="AH27" s="16" t="n"/>
      <c r="AI27" s="16" t="n"/>
      <c r="AJ27" s="16" t="n"/>
      <c r="AK27" s="17" t="n"/>
    </row>
    <row r="28" ht="20.25" customHeight="1" s="41">
      <c r="B28" s="105" t="n">
        <v>3</v>
      </c>
      <c r="C28" s="101">
        <f>控え!C28</f>
        <v/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99">
        <f>控え!R28</f>
        <v/>
      </c>
      <c r="S28" s="16" t="n"/>
      <c r="T28" s="17" t="n"/>
      <c r="U28" s="98">
        <f>控え!U28</f>
        <v/>
      </c>
      <c r="V28" s="16" t="n"/>
      <c r="W28" s="17" t="n"/>
      <c r="X28" s="98">
        <f>控え!X28</f>
        <v/>
      </c>
      <c r="Y28" s="16" t="n"/>
      <c r="Z28" s="16" t="n"/>
      <c r="AA28" s="17" t="n"/>
      <c r="AB28" s="98">
        <f>控え!AB28</f>
        <v/>
      </c>
      <c r="AC28" s="16" t="n"/>
      <c r="AD28" s="16" t="n"/>
      <c r="AE28" s="16" t="n"/>
      <c r="AF28" s="17" t="n"/>
      <c r="AG28" s="99">
        <f>控え!AG28</f>
        <v/>
      </c>
      <c r="AH28" s="16" t="n"/>
      <c r="AI28" s="16" t="n"/>
      <c r="AJ28" s="16" t="n"/>
      <c r="AK28" s="17" t="n"/>
    </row>
    <row r="29" ht="20.25" customHeight="1" s="41">
      <c r="B29" s="105" t="n">
        <v>4</v>
      </c>
      <c r="C29" s="101">
        <f>控え!C29</f>
        <v/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99">
        <f>控え!R29</f>
        <v/>
      </c>
      <c r="S29" s="16" t="n"/>
      <c r="T29" s="17" t="n"/>
      <c r="U29" s="98">
        <f>控え!U29</f>
        <v/>
      </c>
      <c r="V29" s="16" t="n"/>
      <c r="W29" s="17" t="n"/>
      <c r="X29" s="98">
        <f>控え!X29</f>
        <v/>
      </c>
      <c r="Y29" s="16" t="n"/>
      <c r="Z29" s="16" t="n"/>
      <c r="AA29" s="17" t="n"/>
      <c r="AB29" s="98">
        <f>控え!AB29</f>
        <v/>
      </c>
      <c r="AC29" s="16" t="n"/>
      <c r="AD29" s="16" t="n"/>
      <c r="AE29" s="16" t="n"/>
      <c r="AF29" s="17" t="n"/>
      <c r="AG29" s="99">
        <f>控え!AG29</f>
        <v/>
      </c>
      <c r="AH29" s="16" t="n"/>
      <c r="AI29" s="16" t="n"/>
      <c r="AJ29" s="16" t="n"/>
      <c r="AK29" s="17" t="n"/>
    </row>
    <row r="30" ht="20.25" customHeight="1" s="41">
      <c r="B30" s="105" t="n">
        <v>5</v>
      </c>
      <c r="C30" s="101">
        <f>控え!C30</f>
        <v/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99">
        <f>控え!R30</f>
        <v/>
      </c>
      <c r="S30" s="16" t="n"/>
      <c r="T30" s="17" t="n"/>
      <c r="U30" s="98">
        <f>控え!U30</f>
        <v/>
      </c>
      <c r="V30" s="16" t="n"/>
      <c r="W30" s="17" t="n"/>
      <c r="X30" s="98">
        <f>控え!X30</f>
        <v/>
      </c>
      <c r="Y30" s="16" t="n"/>
      <c r="Z30" s="16" t="n"/>
      <c r="AA30" s="17" t="n"/>
      <c r="AB30" s="98">
        <f>控え!AB30</f>
        <v/>
      </c>
      <c r="AC30" s="16" t="n"/>
      <c r="AD30" s="16" t="n"/>
      <c r="AE30" s="16" t="n"/>
      <c r="AF30" s="17" t="n"/>
      <c r="AG30" s="99">
        <f>控え!AG30</f>
        <v/>
      </c>
      <c r="AH30" s="16" t="n"/>
      <c r="AI30" s="16" t="n"/>
      <c r="AJ30" s="16" t="n"/>
      <c r="AK30" s="17" t="n"/>
    </row>
    <row r="31" ht="20.25" customHeight="1" s="41">
      <c r="B31" s="105" t="n">
        <v>6</v>
      </c>
      <c r="C31" s="101">
        <f>控え!C31</f>
        <v/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99">
        <f>控え!R31</f>
        <v/>
      </c>
      <c r="S31" s="16" t="n"/>
      <c r="T31" s="17" t="n"/>
      <c r="U31" s="98">
        <f>控え!U31</f>
        <v/>
      </c>
      <c r="V31" s="16" t="n"/>
      <c r="W31" s="17" t="n"/>
      <c r="X31" s="98">
        <f>控え!X31</f>
        <v/>
      </c>
      <c r="Y31" s="16" t="n"/>
      <c r="Z31" s="16" t="n"/>
      <c r="AA31" s="17" t="n"/>
      <c r="AB31" s="98">
        <f>控え!AB31</f>
        <v/>
      </c>
      <c r="AC31" s="16" t="n"/>
      <c r="AD31" s="16" t="n"/>
      <c r="AE31" s="16" t="n"/>
      <c r="AF31" s="17" t="n"/>
      <c r="AG31" s="99">
        <f>控え!AG31</f>
        <v/>
      </c>
      <c r="AH31" s="16" t="n"/>
      <c r="AI31" s="16" t="n"/>
      <c r="AJ31" s="16" t="n"/>
      <c r="AK31" s="17" t="n"/>
    </row>
    <row r="32" ht="20.25" customHeight="1" s="41">
      <c r="B32" s="105" t="n">
        <v>7</v>
      </c>
      <c r="C32" s="101">
        <f>控え!C32</f>
        <v/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99">
        <f>控え!R32</f>
        <v/>
      </c>
      <c r="S32" s="16" t="n"/>
      <c r="T32" s="17" t="n"/>
      <c r="U32" s="98">
        <f>控え!U32</f>
        <v/>
      </c>
      <c r="V32" s="16" t="n"/>
      <c r="W32" s="17" t="n"/>
      <c r="X32" s="98">
        <f>控え!X32</f>
        <v/>
      </c>
      <c r="Y32" s="16" t="n"/>
      <c r="Z32" s="16" t="n"/>
      <c r="AA32" s="17" t="n"/>
      <c r="AB32" s="98">
        <f>控え!AB32</f>
        <v/>
      </c>
      <c r="AC32" s="16" t="n"/>
      <c r="AD32" s="16" t="n"/>
      <c r="AE32" s="16" t="n"/>
      <c r="AF32" s="17" t="n"/>
      <c r="AG32" s="99">
        <f>控え!AG32</f>
        <v/>
      </c>
      <c r="AH32" s="16" t="n"/>
      <c r="AI32" s="16" t="n"/>
      <c r="AJ32" s="16" t="n"/>
      <c r="AK32" s="17" t="n"/>
    </row>
    <row r="33" ht="20.25" customHeight="1" s="41">
      <c r="B33" s="105" t="n">
        <v>8</v>
      </c>
      <c r="C33" s="101">
        <f>控え!C33</f>
        <v/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99">
        <f>控え!R33</f>
        <v/>
      </c>
      <c r="S33" s="16" t="n"/>
      <c r="T33" s="17" t="n"/>
      <c r="U33" s="98">
        <f>控え!U33</f>
        <v/>
      </c>
      <c r="V33" s="16" t="n"/>
      <c r="W33" s="17" t="n"/>
      <c r="X33" s="98">
        <f>控え!X33</f>
        <v/>
      </c>
      <c r="Y33" s="16" t="n"/>
      <c r="Z33" s="16" t="n"/>
      <c r="AA33" s="17" t="n"/>
      <c r="AB33" s="98">
        <f>控え!AB33</f>
        <v/>
      </c>
      <c r="AC33" s="16" t="n"/>
      <c r="AD33" s="16" t="n"/>
      <c r="AE33" s="16" t="n"/>
      <c r="AF33" s="17" t="n"/>
      <c r="AG33" s="99">
        <f>控え!AG33</f>
        <v/>
      </c>
      <c r="AH33" s="16" t="n"/>
      <c r="AI33" s="16" t="n"/>
      <c r="AJ33" s="16" t="n"/>
      <c r="AK33" s="17" t="n"/>
    </row>
    <row r="34" ht="20.25" customHeight="1" s="41">
      <c r="B34" s="105" t="n">
        <v>9</v>
      </c>
      <c r="C34" s="101">
        <f>控え!C34</f>
        <v/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99">
        <f>控え!R34</f>
        <v/>
      </c>
      <c r="S34" s="16" t="n"/>
      <c r="T34" s="17" t="n"/>
      <c r="U34" s="98">
        <f>控え!U34</f>
        <v/>
      </c>
      <c r="V34" s="16" t="n"/>
      <c r="W34" s="17" t="n"/>
      <c r="X34" s="98">
        <f>控え!X34</f>
        <v/>
      </c>
      <c r="Y34" s="16" t="n"/>
      <c r="Z34" s="16" t="n"/>
      <c r="AA34" s="17" t="n"/>
      <c r="AB34" s="98">
        <f>控え!AB34</f>
        <v/>
      </c>
      <c r="AC34" s="16" t="n"/>
      <c r="AD34" s="16" t="n"/>
      <c r="AE34" s="16" t="n"/>
      <c r="AF34" s="17" t="n"/>
      <c r="AG34" s="99">
        <f>控え!AG34</f>
        <v/>
      </c>
      <c r="AH34" s="16" t="n"/>
      <c r="AI34" s="16" t="n"/>
      <c r="AJ34" s="16" t="n"/>
      <c r="AK34" s="17" t="n"/>
    </row>
    <row r="35" ht="20.25" customHeight="1" s="41">
      <c r="B35" s="105" t="n">
        <v>10</v>
      </c>
      <c r="C35" s="101">
        <f>控え!C35</f>
        <v/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99">
        <f>控え!R35</f>
        <v/>
      </c>
      <c r="S35" s="16" t="n"/>
      <c r="T35" s="17" t="n"/>
      <c r="U35" s="98">
        <f>控え!U35</f>
        <v/>
      </c>
      <c r="V35" s="16" t="n"/>
      <c r="W35" s="17" t="n"/>
      <c r="X35" s="98">
        <f>控え!X35</f>
        <v/>
      </c>
      <c r="Y35" s="16" t="n"/>
      <c r="Z35" s="16" t="n"/>
      <c r="AA35" s="17" t="n"/>
      <c r="AB35" s="98">
        <f>控え!AB35</f>
        <v/>
      </c>
      <c r="AC35" s="16" t="n"/>
      <c r="AD35" s="16" t="n"/>
      <c r="AE35" s="16" t="n"/>
      <c r="AF35" s="17" t="n"/>
      <c r="AG35" s="99">
        <f>控え!AG35</f>
        <v/>
      </c>
      <c r="AH35" s="16" t="n"/>
      <c r="AI35" s="16" t="n"/>
      <c r="AJ35" s="16" t="n"/>
      <c r="AK35" s="17" t="n"/>
    </row>
    <row r="36" ht="20.25" customHeight="1" s="41">
      <c r="B36" s="105" t="n">
        <v>11</v>
      </c>
      <c r="C36" s="101">
        <f>控え!C36</f>
        <v/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99">
        <f>控え!R36</f>
        <v/>
      </c>
      <c r="S36" s="16" t="n"/>
      <c r="T36" s="17" t="n"/>
      <c r="U36" s="98">
        <f>控え!U36</f>
        <v/>
      </c>
      <c r="V36" s="16" t="n"/>
      <c r="W36" s="17" t="n"/>
      <c r="X36" s="98">
        <f>控え!X36</f>
        <v/>
      </c>
      <c r="Y36" s="16" t="n"/>
      <c r="Z36" s="16" t="n"/>
      <c r="AA36" s="17" t="n"/>
      <c r="AB36" s="98">
        <f>控え!AB36</f>
        <v/>
      </c>
      <c r="AC36" s="16" t="n"/>
      <c r="AD36" s="16" t="n"/>
      <c r="AE36" s="16" t="n"/>
      <c r="AF36" s="17" t="n"/>
      <c r="AG36" s="99">
        <f>控え!AG36</f>
        <v/>
      </c>
      <c r="AH36" s="16" t="n"/>
      <c r="AI36" s="16" t="n"/>
      <c r="AJ36" s="16" t="n"/>
      <c r="AK36" s="17" t="n"/>
    </row>
    <row r="37" ht="20.25" customHeight="1" s="41">
      <c r="B37" s="105" t="n">
        <v>12</v>
      </c>
      <c r="C37" s="101">
        <f>控え!C37</f>
        <v/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99">
        <f>控え!R37</f>
        <v/>
      </c>
      <c r="S37" s="16" t="n"/>
      <c r="T37" s="17" t="n"/>
      <c r="U37" s="98">
        <f>控え!U37</f>
        <v/>
      </c>
      <c r="V37" s="16" t="n"/>
      <c r="W37" s="17" t="n"/>
      <c r="X37" s="98">
        <f>控え!X37</f>
        <v/>
      </c>
      <c r="Y37" s="16" t="n"/>
      <c r="Z37" s="16" t="n"/>
      <c r="AA37" s="17" t="n"/>
      <c r="AB37" s="98">
        <f>控え!AB37</f>
        <v/>
      </c>
      <c r="AC37" s="16" t="n"/>
      <c r="AD37" s="16" t="n"/>
      <c r="AE37" s="16" t="n"/>
      <c r="AF37" s="17" t="n"/>
      <c r="AG37" s="99">
        <f>控え!AG37</f>
        <v/>
      </c>
      <c r="AH37" s="16" t="n"/>
      <c r="AI37" s="16" t="n"/>
      <c r="AJ37" s="16" t="n"/>
      <c r="AK37" s="17" t="n"/>
    </row>
    <row r="38" ht="20.25" customHeight="1" s="41">
      <c r="B38" s="105" t="n">
        <v>13</v>
      </c>
      <c r="C38" s="101">
        <f>控え!C38</f>
        <v/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99">
        <f>控え!R38</f>
        <v/>
      </c>
      <c r="S38" s="16" t="n"/>
      <c r="T38" s="17" t="n"/>
      <c r="U38" s="98">
        <f>控え!U38</f>
        <v/>
      </c>
      <c r="V38" s="16" t="n"/>
      <c r="W38" s="17" t="n"/>
      <c r="X38" s="98">
        <f>控え!X38</f>
        <v/>
      </c>
      <c r="Y38" s="16" t="n"/>
      <c r="Z38" s="16" t="n"/>
      <c r="AA38" s="17" t="n"/>
      <c r="AB38" s="98">
        <f>控え!AB38</f>
        <v/>
      </c>
      <c r="AC38" s="16" t="n"/>
      <c r="AD38" s="16" t="n"/>
      <c r="AE38" s="16" t="n"/>
      <c r="AF38" s="17" t="n"/>
      <c r="AG38" s="99">
        <f>控え!AG38</f>
        <v/>
      </c>
      <c r="AH38" s="16" t="n"/>
      <c r="AI38" s="16" t="n"/>
      <c r="AJ38" s="16" t="n"/>
      <c r="AK38" s="17" t="n"/>
    </row>
    <row r="39" ht="20.25" customHeight="1" s="41">
      <c r="B39" s="105" t="n">
        <v>14</v>
      </c>
      <c r="C39" s="101">
        <f>控え!C39</f>
        <v/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99">
        <f>控え!R39</f>
        <v/>
      </c>
      <c r="S39" s="16" t="n"/>
      <c r="T39" s="17" t="n"/>
      <c r="U39" s="98">
        <f>控え!U39</f>
        <v/>
      </c>
      <c r="V39" s="16" t="n"/>
      <c r="W39" s="17" t="n"/>
      <c r="X39" s="98">
        <f>控え!X39</f>
        <v/>
      </c>
      <c r="Y39" s="16" t="n"/>
      <c r="Z39" s="16" t="n"/>
      <c r="AA39" s="17" t="n"/>
      <c r="AB39" s="98">
        <f>控え!AB39</f>
        <v/>
      </c>
      <c r="AC39" s="16" t="n"/>
      <c r="AD39" s="16" t="n"/>
      <c r="AE39" s="16" t="n"/>
      <c r="AF39" s="17" t="n"/>
      <c r="AG39" s="99">
        <f>控え!AG39</f>
        <v/>
      </c>
      <c r="AH39" s="16" t="n"/>
      <c r="AI39" s="16" t="n"/>
      <c r="AJ39" s="16" t="n"/>
      <c r="AK39" s="17" t="n"/>
    </row>
    <row r="40" ht="20.25" customHeight="1" s="41">
      <c r="B40" s="105" t="n">
        <v>15</v>
      </c>
      <c r="C40" s="101">
        <f>控え!C40</f>
        <v/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99">
        <f>控え!R40</f>
        <v/>
      </c>
      <c r="S40" s="16" t="n"/>
      <c r="T40" s="17" t="n"/>
      <c r="U40" s="98">
        <f>控え!U40</f>
        <v/>
      </c>
      <c r="V40" s="16" t="n"/>
      <c r="W40" s="17" t="n"/>
      <c r="X40" s="98">
        <f>控え!X40</f>
        <v/>
      </c>
      <c r="Y40" s="16" t="n"/>
      <c r="Z40" s="16" t="n"/>
      <c r="AA40" s="17" t="n"/>
      <c r="AB40" s="98">
        <f>控え!AB40</f>
        <v/>
      </c>
      <c r="AC40" s="16" t="n"/>
      <c r="AD40" s="16" t="n"/>
      <c r="AE40" s="16" t="n"/>
      <c r="AF40" s="17" t="n"/>
      <c r="AG40" s="99">
        <f>控え!AG40</f>
        <v/>
      </c>
      <c r="AH40" s="16" t="n"/>
      <c r="AI40" s="16" t="n"/>
      <c r="AJ40" s="16" t="n"/>
      <c r="AK40" s="17" t="n"/>
    </row>
    <row r="41" ht="20.25" customHeight="1" s="41">
      <c r="B41" s="105" t="n">
        <v>16</v>
      </c>
      <c r="C41" s="101">
        <f>控え!C41</f>
        <v/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99">
        <f>控え!R41</f>
        <v/>
      </c>
      <c r="S41" s="16" t="n"/>
      <c r="T41" s="17" t="n"/>
      <c r="U41" s="98">
        <f>控え!U41</f>
        <v/>
      </c>
      <c r="V41" s="16" t="n"/>
      <c r="W41" s="17" t="n"/>
      <c r="X41" s="98">
        <f>控え!X41</f>
        <v/>
      </c>
      <c r="Y41" s="16" t="n"/>
      <c r="Z41" s="16" t="n"/>
      <c r="AA41" s="17" t="n"/>
      <c r="AB41" s="98">
        <f>控え!AB41</f>
        <v/>
      </c>
      <c r="AC41" s="16" t="n"/>
      <c r="AD41" s="16" t="n"/>
      <c r="AE41" s="16" t="n"/>
      <c r="AF41" s="17" t="n"/>
      <c r="AG41" s="99">
        <f>控え!AG41</f>
        <v/>
      </c>
      <c r="AH41" s="16" t="n"/>
      <c r="AI41" s="16" t="n"/>
      <c r="AJ41" s="16" t="n"/>
      <c r="AK41" s="17" t="n"/>
    </row>
    <row r="42" ht="20.25" customHeight="1" s="41">
      <c r="B42" s="105" t="n">
        <v>17</v>
      </c>
      <c r="C42" s="101">
        <f>控え!C42</f>
        <v/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99">
        <f>控え!R42</f>
        <v/>
      </c>
      <c r="S42" s="16" t="n"/>
      <c r="T42" s="17" t="n"/>
      <c r="U42" s="98">
        <f>控え!U42</f>
        <v/>
      </c>
      <c r="V42" s="16" t="n"/>
      <c r="W42" s="17" t="n"/>
      <c r="X42" s="98">
        <f>控え!X42</f>
        <v/>
      </c>
      <c r="Y42" s="16" t="n"/>
      <c r="Z42" s="16" t="n"/>
      <c r="AA42" s="17" t="n"/>
      <c r="AB42" s="98">
        <f>控え!AB42</f>
        <v/>
      </c>
      <c r="AC42" s="16" t="n"/>
      <c r="AD42" s="16" t="n"/>
      <c r="AE42" s="16" t="n"/>
      <c r="AF42" s="17" t="n"/>
      <c r="AG42" s="99">
        <f>控え!AG42</f>
        <v/>
      </c>
      <c r="AH42" s="16" t="n"/>
      <c r="AI42" s="16" t="n"/>
      <c r="AJ42" s="16" t="n"/>
      <c r="AK42" s="17" t="n"/>
    </row>
    <row r="43" ht="20.25" customHeight="1" s="41">
      <c r="B43" s="105" t="n">
        <v>18</v>
      </c>
      <c r="C43" s="101">
        <f>控え!C43</f>
        <v/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99">
        <f>控え!R43</f>
        <v/>
      </c>
      <c r="S43" s="16" t="n"/>
      <c r="T43" s="17" t="n"/>
      <c r="U43" s="98">
        <f>控え!U43</f>
        <v/>
      </c>
      <c r="V43" s="16" t="n"/>
      <c r="W43" s="17" t="n"/>
      <c r="X43" s="98">
        <f>控え!X43</f>
        <v/>
      </c>
      <c r="Y43" s="16" t="n"/>
      <c r="Z43" s="16" t="n"/>
      <c r="AA43" s="17" t="n"/>
      <c r="AB43" s="98">
        <f>控え!AB43</f>
        <v/>
      </c>
      <c r="AC43" s="16" t="n"/>
      <c r="AD43" s="16" t="n"/>
      <c r="AE43" s="16" t="n"/>
      <c r="AF43" s="17" t="n"/>
      <c r="AG43" s="99">
        <f>控え!AG43</f>
        <v/>
      </c>
      <c r="AH43" s="16" t="n"/>
      <c r="AI43" s="16" t="n"/>
      <c r="AJ43" s="16" t="n"/>
      <c r="AK43" s="17" t="n"/>
    </row>
    <row r="44" ht="20.25" customHeight="1" s="41">
      <c r="B44" s="105" t="n">
        <v>19</v>
      </c>
      <c r="C44" s="101">
        <f>控え!C44</f>
        <v/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99">
        <f>控え!R44</f>
        <v/>
      </c>
      <c r="S44" s="16" t="n"/>
      <c r="T44" s="17" t="n"/>
      <c r="U44" s="98">
        <f>控え!U44</f>
        <v/>
      </c>
      <c r="V44" s="16" t="n"/>
      <c r="W44" s="17" t="n"/>
      <c r="X44" s="98">
        <f>控え!X44</f>
        <v/>
      </c>
      <c r="Y44" s="16" t="n"/>
      <c r="Z44" s="16" t="n"/>
      <c r="AA44" s="17" t="n"/>
      <c r="AB44" s="98">
        <f>控え!AB44</f>
        <v/>
      </c>
      <c r="AC44" s="16" t="n"/>
      <c r="AD44" s="16" t="n"/>
      <c r="AE44" s="16" t="n"/>
      <c r="AF44" s="17" t="n"/>
      <c r="AG44" s="99">
        <f>控え!AG44</f>
        <v/>
      </c>
      <c r="AH44" s="16" t="n"/>
      <c r="AI44" s="16" t="n"/>
      <c r="AJ44" s="16" t="n"/>
      <c r="AK44" s="17" t="n"/>
    </row>
    <row r="45" ht="20.25" customHeight="1" s="41">
      <c r="B45" s="105" t="n">
        <v>20</v>
      </c>
      <c r="C45" s="101">
        <f>控え!C45</f>
        <v/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99">
        <f>控え!R45</f>
        <v/>
      </c>
      <c r="S45" s="16" t="n"/>
      <c r="T45" s="17" t="n"/>
      <c r="U45" s="98">
        <f>控え!U45</f>
        <v/>
      </c>
      <c r="V45" s="16" t="n"/>
      <c r="W45" s="17" t="n"/>
      <c r="X45" s="98">
        <f>控え!X45</f>
        <v/>
      </c>
      <c r="Y45" s="16" t="n"/>
      <c r="Z45" s="16" t="n"/>
      <c r="AA45" s="17" t="n"/>
      <c r="AB45" s="98">
        <f>控え!AB45</f>
        <v/>
      </c>
      <c r="AC45" s="16" t="n"/>
      <c r="AD45" s="16" t="n"/>
      <c r="AE45" s="16" t="n"/>
      <c r="AF45" s="17" t="n"/>
      <c r="AG45" s="99">
        <f>控え!AG45</f>
        <v/>
      </c>
      <c r="AH45" s="16" t="n"/>
      <c r="AI45" s="16" t="n"/>
      <c r="AJ45" s="16" t="n"/>
      <c r="AK45" s="17" t="n"/>
    </row>
    <row r="46" ht="20.25" customHeight="1" s="41">
      <c r="B46" s="6" t="inlineStr">
        <is>
          <t>※</t>
        </is>
      </c>
      <c r="C46" s="12">
        <f>控え!C46</f>
        <v/>
      </c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 t="n"/>
      <c r="R46" s="24" t="inlineStr">
        <is>
          <t>小計金額</t>
        </is>
      </c>
      <c r="S46" s="13" t="n"/>
      <c r="T46" s="13" t="n"/>
      <c r="U46" s="13" t="n"/>
      <c r="V46" s="13" t="n"/>
      <c r="W46" s="14" t="n"/>
      <c r="X46" s="117">
        <f>控え!X46</f>
        <v/>
      </c>
      <c r="Y46" s="13" t="n"/>
      <c r="Z46" s="13" t="n"/>
      <c r="AA46" s="14" t="n"/>
      <c r="AB46" s="117">
        <f>控え!AB46</f>
        <v/>
      </c>
      <c r="AC46" s="13" t="n"/>
      <c r="AD46" s="13" t="n"/>
      <c r="AE46" s="13" t="n"/>
      <c r="AF46" s="14" t="n"/>
      <c r="AG46" s="12">
        <f>控え!AG46</f>
        <v/>
      </c>
      <c r="AH46" s="13" t="n"/>
      <c r="AI46" s="13" t="n"/>
      <c r="AJ46" s="13" t="n"/>
      <c r="AK46" s="14" t="n"/>
    </row>
    <row r="48">
      <c r="B48" s="116">
        <f>控え!B48</f>
        <v/>
      </c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8" t="n"/>
    </row>
    <row r="49">
      <c r="B49" s="112">
        <f>控え!B49</f>
        <v/>
      </c>
      <c r="AK49" s="71" t="n"/>
    </row>
    <row r="50">
      <c r="B50" s="109">
        <f>控え!B50</f>
        <v/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60" t="n"/>
    </row>
  </sheetData>
  <mergeCells count="193">
    <mergeCell ref="C25:Q25"/>
    <mergeCell ref="X26:AA26"/>
    <mergeCell ref="X41:AA41"/>
    <mergeCell ref="R27:T27"/>
    <mergeCell ref="AG29:AK29"/>
    <mergeCell ref="X35:AA35"/>
    <mergeCell ref="U32:W32"/>
    <mergeCell ref="R36:T36"/>
    <mergeCell ref="U37:W37"/>
    <mergeCell ref="R45:T45"/>
    <mergeCell ref="B48:AK48"/>
    <mergeCell ref="G18:N19"/>
    <mergeCell ref="X25:AA25"/>
    <mergeCell ref="AG44:AK44"/>
    <mergeCell ref="AB41:AF41"/>
    <mergeCell ref="M21:O21"/>
    <mergeCell ref="AG31:AK31"/>
    <mergeCell ref="AB35:AF35"/>
    <mergeCell ref="R42:T42"/>
    <mergeCell ref="X8:AK8"/>
    <mergeCell ref="X9:AA9"/>
    <mergeCell ref="C46:Q46"/>
    <mergeCell ref="X27:AA27"/>
    <mergeCell ref="AB25:AF25"/>
    <mergeCell ref="B11:F11"/>
    <mergeCell ref="P22:R23"/>
    <mergeCell ref="C39:Q39"/>
    <mergeCell ref="AB27:AF27"/>
    <mergeCell ref="AB36:AF36"/>
    <mergeCell ref="B49:AK49"/>
    <mergeCell ref="F6:U6"/>
    <mergeCell ref="C38:Q38"/>
    <mergeCell ref="AB12:AD13"/>
    <mergeCell ref="C32:Q32"/>
    <mergeCell ref="B21:E21"/>
    <mergeCell ref="U35:W35"/>
    <mergeCell ref="U44:W44"/>
    <mergeCell ref="V21:X21"/>
    <mergeCell ref="X37:AA37"/>
    <mergeCell ref="U34:W34"/>
    <mergeCell ref="R38:T38"/>
    <mergeCell ref="B50:AK50"/>
    <mergeCell ref="AD22:AG23"/>
    <mergeCell ref="Z21:AC21"/>
    <mergeCell ref="U27:W27"/>
    <mergeCell ref="AG33:AK33"/>
    <mergeCell ref="U36:W36"/>
    <mergeCell ref="X42:AA42"/>
    <mergeCell ref="U30:W30"/>
    <mergeCell ref="B7:E8"/>
    <mergeCell ref="AG42:AK42"/>
    <mergeCell ref="R40:T40"/>
    <mergeCell ref="X29:AA29"/>
    <mergeCell ref="F21:H21"/>
    <mergeCell ref="C26:Q26"/>
    <mergeCell ref="AH22:AK23"/>
    <mergeCell ref="X38:AA38"/>
    <mergeCell ref="AG35:AK35"/>
    <mergeCell ref="V22:X23"/>
    <mergeCell ref="F9:U9"/>
    <mergeCell ref="AG34:AK34"/>
    <mergeCell ref="AG25:AK25"/>
    <mergeCell ref="G15:Q16"/>
    <mergeCell ref="R26:T26"/>
    <mergeCell ref="B15:F16"/>
    <mergeCell ref="S22:U23"/>
    <mergeCell ref="R35:T35"/>
    <mergeCell ref="AB32:AF32"/>
    <mergeCell ref="AB26:AF26"/>
    <mergeCell ref="AB40:AF40"/>
    <mergeCell ref="AG12:AK13"/>
    <mergeCell ref="X7:AK7"/>
    <mergeCell ref="C36:Q36"/>
    <mergeCell ref="X43:AA43"/>
    <mergeCell ref="X40:AA40"/>
    <mergeCell ref="U38:W38"/>
    <mergeCell ref="AB43:AF43"/>
    <mergeCell ref="S7:U8"/>
    <mergeCell ref="AG45:AK45"/>
    <mergeCell ref="C28:Q28"/>
    <mergeCell ref="C37:Q37"/>
    <mergeCell ref="U26:W26"/>
    <mergeCell ref="R39:T39"/>
    <mergeCell ref="F22:H23"/>
    <mergeCell ref="U40:W40"/>
    <mergeCell ref="B5:E6"/>
    <mergeCell ref="X34:AA34"/>
    <mergeCell ref="X28:AA28"/>
    <mergeCell ref="C30:Q30"/>
    <mergeCell ref="R29:T29"/>
    <mergeCell ref="B12:F13"/>
    <mergeCell ref="B22:E23"/>
    <mergeCell ref="AB34:AF34"/>
    <mergeCell ref="X12:AA13"/>
    <mergeCell ref="X30:AA30"/>
    <mergeCell ref="AB28:AF28"/>
    <mergeCell ref="AD15:AE16"/>
    <mergeCell ref="AB37:AF37"/>
    <mergeCell ref="R31:T31"/>
    <mergeCell ref="X45:AA45"/>
    <mergeCell ref="P21:R21"/>
    <mergeCell ref="F5:K5"/>
    <mergeCell ref="J22:L23"/>
    <mergeCell ref="AG26:AK26"/>
    <mergeCell ref="U25:W25"/>
    <mergeCell ref="R37:T37"/>
    <mergeCell ref="AB30:AF30"/>
    <mergeCell ref="C41:Q41"/>
    <mergeCell ref="G11:Q11"/>
    <mergeCell ref="AG41:AK41"/>
    <mergeCell ref="AB29:AF29"/>
    <mergeCell ref="X31:AA31"/>
    <mergeCell ref="X46:AA46"/>
    <mergeCell ref="C43:Q43"/>
    <mergeCell ref="Z22:AC23"/>
    <mergeCell ref="U28:W28"/>
    <mergeCell ref="R41:T41"/>
    <mergeCell ref="C27:Q27"/>
    <mergeCell ref="X39:AA39"/>
    <mergeCell ref="AH21:AK21"/>
    <mergeCell ref="AG27:AK27"/>
    <mergeCell ref="AB46:AF46"/>
    <mergeCell ref="AG36:AK36"/>
    <mergeCell ref="U39:W39"/>
    <mergeCell ref="R43:T43"/>
    <mergeCell ref="X32:AA32"/>
    <mergeCell ref="U29:W29"/>
    <mergeCell ref="R33:T33"/>
    <mergeCell ref="X15:AC16"/>
    <mergeCell ref="AB38:AF38"/>
    <mergeCell ref="X14:AE14"/>
    <mergeCell ref="AG28:AK28"/>
    <mergeCell ref="U31:W31"/>
    <mergeCell ref="C34:Q34"/>
    <mergeCell ref="AG37:AK37"/>
    <mergeCell ref="B18:F19"/>
    <mergeCell ref="R44:T44"/>
    <mergeCell ref="S21:U21"/>
    <mergeCell ref="L5:U5"/>
    <mergeCell ref="R28:T28"/>
    <mergeCell ref="AG39:AK39"/>
    <mergeCell ref="AG30:AK30"/>
    <mergeCell ref="C45:Q45"/>
    <mergeCell ref="B2:X3"/>
    <mergeCell ref="AB33:AF33"/>
    <mergeCell ref="R25:T25"/>
    <mergeCell ref="AB42:AF42"/>
    <mergeCell ref="C29:Q29"/>
    <mergeCell ref="R30:T30"/>
    <mergeCell ref="B9:E9"/>
    <mergeCell ref="AG38:AK38"/>
    <mergeCell ref="U41:W41"/>
    <mergeCell ref="C44:Q44"/>
    <mergeCell ref="C31:Q31"/>
    <mergeCell ref="X11:AK11"/>
    <mergeCell ref="C40:Q40"/>
    <mergeCell ref="AG46:AK46"/>
    <mergeCell ref="AB45:AF45"/>
    <mergeCell ref="AG40:AK40"/>
    <mergeCell ref="U43:W43"/>
    <mergeCell ref="X5:AK6"/>
    <mergeCell ref="X44:AA44"/>
    <mergeCell ref="X36:AA36"/>
    <mergeCell ref="U33:W33"/>
    <mergeCell ref="R32:T32"/>
    <mergeCell ref="AD21:AG21"/>
    <mergeCell ref="U42:W42"/>
    <mergeCell ref="AB44:AF44"/>
    <mergeCell ref="B14:F14"/>
    <mergeCell ref="AG32:AK32"/>
    <mergeCell ref="AB31:AF31"/>
    <mergeCell ref="J21:L21"/>
    <mergeCell ref="AB2:AK3"/>
    <mergeCell ref="R46:W46"/>
    <mergeCell ref="R15:W16"/>
    <mergeCell ref="AB39:AF39"/>
    <mergeCell ref="G12:Q13"/>
    <mergeCell ref="M22:O23"/>
    <mergeCell ref="R14:W14"/>
    <mergeCell ref="O18:P19"/>
    <mergeCell ref="R12:W13"/>
    <mergeCell ref="G14:Q14"/>
    <mergeCell ref="R11:W11"/>
    <mergeCell ref="AE12:AF13"/>
    <mergeCell ref="C33:Q33"/>
    <mergeCell ref="AB9:AK9"/>
    <mergeCell ref="C42:Q42"/>
    <mergeCell ref="U45:W45"/>
    <mergeCell ref="AG43:AK43"/>
    <mergeCell ref="X33:AA33"/>
    <mergeCell ref="C35:Q35"/>
    <mergeCell ref="R34:T34"/>
    <mergeCell ref="F7:R8"/>
  </mergeCells>
  <printOptions horizontalCentered="1"/>
  <pageMargins left="0.19" right="0.18" top="0.4" bottom="0.19" header="0.3" footer="0.3"/>
  <pageSetup orientation="portrait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Z31"/>
  <sheetViews>
    <sheetView showZeros="0" zoomScale="70" zoomScaleNormal="70" workbookViewId="0">
      <selection activeCell="A1" sqref="A1"/>
    </sheetView>
  </sheetViews>
  <sheetFormatPr baseColWidth="8" defaultColWidth="2.625" defaultRowHeight="13.5"/>
  <sheetData>
    <row r="2" ht="14.25" customHeight="1" s="41"/>
    <row r="3" ht="19.5" customHeight="1" s="41">
      <c r="B3" s="43" t="n"/>
      <c r="C3" s="45" t="n"/>
      <c r="D3" s="43" t="inlineStr">
        <is>
          <t>車検基本料金</t>
        </is>
      </c>
      <c r="E3" s="44" t="n"/>
      <c r="F3" s="44" t="n"/>
      <c r="G3" s="44" t="n"/>
      <c r="H3" s="44" t="n"/>
      <c r="I3" s="44" t="n"/>
      <c r="J3" s="45" t="n"/>
      <c r="K3" s="43" t="inlineStr">
        <is>
          <t>代行料</t>
        </is>
      </c>
      <c r="L3" s="44" t="n"/>
      <c r="M3" s="44" t="n"/>
      <c r="N3" s="44" t="n"/>
      <c r="O3" s="44" t="n"/>
      <c r="P3" s="44" t="n"/>
      <c r="Q3" s="45" t="n"/>
      <c r="R3" s="43" t="inlineStr">
        <is>
          <t>ショートパーツ</t>
        </is>
      </c>
      <c r="S3" s="44" t="n"/>
      <c r="T3" s="44" t="n"/>
      <c r="U3" s="44" t="n"/>
      <c r="V3" s="44" t="n"/>
      <c r="W3" s="44" t="n"/>
      <c r="X3" s="45" t="n"/>
    </row>
    <row r="4" ht="19.5" customHeight="1" s="41">
      <c r="B4" s="43" t="inlineStr">
        <is>
          <t>税別</t>
        </is>
      </c>
      <c r="C4" s="45" t="n"/>
      <c r="D4" s="120" t="n"/>
      <c r="E4" s="44" t="n"/>
      <c r="F4" s="44" t="n"/>
      <c r="G4" s="44" t="n"/>
      <c r="H4" s="44" t="n"/>
      <c r="I4" s="44" t="n"/>
      <c r="J4" s="45" t="n"/>
      <c r="K4" s="120" t="n"/>
      <c r="L4" s="44" t="n"/>
      <c r="M4" s="44" t="n"/>
      <c r="N4" s="44" t="n"/>
      <c r="O4" s="44" t="n"/>
      <c r="P4" s="44" t="n"/>
      <c r="Q4" s="45" t="n"/>
      <c r="R4" s="120" t="n"/>
      <c r="S4" s="44" t="n"/>
      <c r="T4" s="44" t="n"/>
      <c r="U4" s="44" t="n"/>
      <c r="V4" s="44" t="n"/>
      <c r="W4" s="44" t="n"/>
      <c r="X4" s="45" t="n"/>
    </row>
    <row r="6">
      <c r="L6" s="43" t="n"/>
      <c r="M6" s="44" t="n"/>
      <c r="N6" s="44" t="n"/>
      <c r="O6" s="44" t="n"/>
      <c r="P6" s="45" t="n"/>
      <c r="Q6" s="43" t="inlineStr">
        <is>
          <t>三和部品</t>
        </is>
      </c>
      <c r="R6" s="44" t="n"/>
      <c r="S6" s="44" t="n"/>
      <c r="T6" s="44" t="n"/>
      <c r="U6" s="45" t="n"/>
    </row>
    <row r="7" ht="11.25" customHeight="1" s="41">
      <c r="L7" s="43" t="inlineStr">
        <is>
          <t>税別</t>
        </is>
      </c>
      <c r="M7" s="44" t="n"/>
      <c r="N7" s="44" t="n"/>
      <c r="O7" s="44" t="n"/>
      <c r="P7" s="45" t="n"/>
      <c r="Q7" s="120" t="n"/>
      <c r="R7" s="44" t="n"/>
      <c r="S7" s="44" t="n"/>
      <c r="T7" s="44" t="n"/>
      <c r="U7" s="45" t="n"/>
    </row>
    <row r="8" ht="11.25" customHeight="1" s="41"/>
    <row r="10" ht="20.25" customHeight="1" s="41">
      <c r="C10" s="43" t="n"/>
      <c r="D10" s="44" t="n"/>
      <c r="E10" s="44" t="n"/>
      <c r="F10" s="45" t="n"/>
      <c r="G10" s="43" t="inlineStr">
        <is>
          <t>売上</t>
        </is>
      </c>
      <c r="H10" s="44" t="n"/>
      <c r="I10" s="44" t="n"/>
      <c r="J10" s="44" t="n"/>
      <c r="K10" s="45" t="n"/>
      <c r="L10" s="43" t="inlineStr">
        <is>
          <t>仕入</t>
        </is>
      </c>
      <c r="M10" s="44" t="n"/>
      <c r="N10" s="44" t="n"/>
      <c r="O10" s="44" t="n"/>
      <c r="P10" s="44" t="n"/>
      <c r="Q10" s="44" t="n"/>
      <c r="R10" s="44" t="n"/>
      <c r="S10" s="44" t="n"/>
      <c r="T10" s="44" t="n"/>
      <c r="U10" s="45" t="n"/>
      <c r="V10" s="43" t="n"/>
      <c r="W10" s="44" t="n"/>
      <c r="X10" s="44" t="n"/>
      <c r="Y10" s="44" t="n"/>
      <c r="Z10" s="45" t="n"/>
    </row>
    <row r="11" ht="20.25" customHeight="1" s="41">
      <c r="C11" s="43" t="n"/>
      <c r="D11" s="44" t="n"/>
      <c r="E11" s="44" t="n"/>
      <c r="F11" s="45" t="n"/>
      <c r="G11" s="43" t="inlineStr">
        <is>
          <t>税込</t>
        </is>
      </c>
      <c r="H11" s="44" t="n"/>
      <c r="I11" s="44" t="n"/>
      <c r="J11" s="44" t="n"/>
      <c r="K11" s="45" t="n"/>
      <c r="L11" s="43" t="inlineStr">
        <is>
          <t>ｒｅｘ税込</t>
        </is>
      </c>
      <c r="M11" s="44" t="n"/>
      <c r="N11" s="44" t="n"/>
      <c r="O11" s="44" t="n"/>
      <c r="P11" s="45" t="n"/>
      <c r="Q11" s="43" t="inlineStr">
        <is>
          <t>三和部品</t>
        </is>
      </c>
      <c r="R11" s="44" t="n"/>
      <c r="S11" s="44" t="n"/>
      <c r="T11" s="44" t="n"/>
      <c r="U11" s="45" t="n"/>
      <c r="V11" s="43" t="inlineStr">
        <is>
          <t>粗利</t>
        </is>
      </c>
      <c r="W11" s="44" t="n"/>
      <c r="X11" s="44" t="n"/>
      <c r="Y11" s="44" t="n"/>
      <c r="Z11" s="45" t="n"/>
    </row>
    <row r="12" ht="20.25" customHeight="1" s="41">
      <c r="C12" s="43" t="inlineStr">
        <is>
          <t>法定費用</t>
        </is>
      </c>
      <c r="D12" s="44" t="n"/>
      <c r="E12" s="44" t="n"/>
      <c r="F12" s="45" t="n"/>
      <c r="G12" s="118">
        <f>控え!V22</f>
        <v/>
      </c>
      <c r="H12" s="44" t="n"/>
      <c r="I12" s="44" t="n"/>
      <c r="J12" s="44" t="n"/>
      <c r="K12" s="45" t="n"/>
      <c r="L12" s="120" t="n"/>
      <c r="M12" s="44" t="n"/>
      <c r="N12" s="44" t="n"/>
      <c r="O12" s="44" t="n"/>
      <c r="P12" s="45" t="n"/>
      <c r="Q12" s="43" t="n"/>
      <c r="R12" s="44" t="n"/>
      <c r="S12" s="44" t="n"/>
      <c r="T12" s="44" t="n"/>
      <c r="U12" s="45" t="n"/>
      <c r="V12" s="118">
        <f>G12-L12-Q12</f>
        <v/>
      </c>
      <c r="W12" s="44" t="n"/>
      <c r="X12" s="44" t="n"/>
      <c r="Y12" s="44" t="n"/>
      <c r="Z12" s="45" t="n"/>
    </row>
    <row r="13" ht="20.25" customHeight="1" s="41">
      <c r="C13" s="43" t="inlineStr">
        <is>
          <t>車検基本料金</t>
        </is>
      </c>
      <c r="D13" s="44" t="n"/>
      <c r="E13" s="44" t="n"/>
      <c r="F13" s="45" t="n"/>
      <c r="G13" s="43">
        <f>ROUND(控え!AB26*1.1,0)</f>
        <v/>
      </c>
      <c r="H13" s="44" t="n"/>
      <c r="I13" s="44" t="n"/>
      <c r="J13" s="44" t="n"/>
      <c r="K13" s="45" t="n"/>
      <c r="L13" s="43">
        <f>(D4+K4+R4)*1.1</f>
        <v/>
      </c>
      <c r="M13" s="44" t="n"/>
      <c r="N13" s="44" t="n"/>
      <c r="O13" s="44" t="n"/>
      <c r="P13" s="45" t="n"/>
      <c r="Q13" s="43" t="n"/>
      <c r="R13" s="44" t="n"/>
      <c r="S13" s="44" t="n"/>
      <c r="T13" s="44" t="n"/>
      <c r="U13" s="45" t="n"/>
      <c r="V13" s="118">
        <f>G13-L13-Q13</f>
        <v/>
      </c>
      <c r="W13" s="44" t="n"/>
      <c r="X13" s="44" t="n"/>
      <c r="Y13" s="44" t="n"/>
      <c r="Z13" s="45" t="n"/>
    </row>
    <row r="14" ht="20.25" customHeight="1" s="41">
      <c r="C14" s="43" t="inlineStr">
        <is>
          <t>部品代</t>
        </is>
      </c>
      <c r="D14" s="44" t="n"/>
      <c r="E14" s="44" t="n"/>
      <c r="F14" s="45" t="n"/>
      <c r="G14" s="43">
        <f>ROUND(控え!X46*1.1,0)</f>
        <v/>
      </c>
      <c r="H14" s="44" t="n"/>
      <c r="I14" s="44" t="n"/>
      <c r="J14" s="44" t="n"/>
      <c r="K14" s="45" t="n"/>
      <c r="L14" s="120" t="n"/>
      <c r="M14" s="44" t="n"/>
      <c r="N14" s="44" t="n"/>
      <c r="O14" s="44" t="n"/>
      <c r="P14" s="45" t="n"/>
      <c r="Q14" s="43">
        <f>ROUND(Q7*1.1,0)</f>
        <v/>
      </c>
      <c r="R14" s="44" t="n"/>
      <c r="S14" s="44" t="n"/>
      <c r="T14" s="44" t="n"/>
      <c r="U14" s="45" t="n"/>
      <c r="V14" s="118">
        <f>G14-L14-Q14</f>
        <v/>
      </c>
      <c r="W14" s="44" t="n"/>
      <c r="X14" s="44" t="n"/>
      <c r="Y14" s="44" t="n"/>
      <c r="Z14" s="45" t="n"/>
    </row>
    <row r="15" ht="20.25" customHeight="1" s="41">
      <c r="C15" s="43" t="inlineStr">
        <is>
          <t>技術料</t>
        </is>
      </c>
      <c r="D15" s="44" t="n"/>
      <c r="E15" s="44" t="n"/>
      <c r="F15" s="45" t="n"/>
      <c r="G15" s="43">
        <f>ROUND((控え!AB46-控え!AB26)*1.1,0)</f>
        <v/>
      </c>
      <c r="H15" s="44" t="n"/>
      <c r="I15" s="44" t="n"/>
      <c r="J15" s="44" t="n"/>
      <c r="K15" s="45" t="n"/>
      <c r="L15" s="120" t="n"/>
      <c r="M15" s="44" t="n"/>
      <c r="N15" s="44" t="n"/>
      <c r="O15" s="44" t="n"/>
      <c r="P15" s="45" t="n"/>
      <c r="Q15" s="43" t="n"/>
      <c r="R15" s="44" t="n"/>
      <c r="S15" s="44" t="n"/>
      <c r="T15" s="44" t="n"/>
      <c r="U15" s="45" t="n"/>
      <c r="V15" s="118">
        <f>G15-L15-Q15</f>
        <v/>
      </c>
      <c r="W15" s="44" t="n"/>
      <c r="X15" s="44" t="n"/>
      <c r="Y15" s="44" t="n"/>
      <c r="Z15" s="45" t="n"/>
    </row>
    <row r="16" ht="20.25" customHeight="1" s="41">
      <c r="C16" s="43" t="n"/>
      <c r="D16" s="44" t="n"/>
      <c r="E16" s="44" t="n"/>
      <c r="F16" s="45" t="n"/>
      <c r="G16" s="43" t="n"/>
      <c r="H16" s="44" t="n"/>
      <c r="I16" s="44" t="n"/>
      <c r="J16" s="44" t="n"/>
      <c r="K16" s="45" t="n"/>
      <c r="L16" s="43" t="n"/>
      <c r="M16" s="44" t="n"/>
      <c r="N16" s="44" t="n"/>
      <c r="O16" s="44" t="n"/>
      <c r="P16" s="45" t="n"/>
      <c r="Q16" s="43" t="n"/>
      <c r="R16" s="44" t="n"/>
      <c r="S16" s="44" t="n"/>
      <c r="T16" s="44" t="n"/>
      <c r="U16" s="45" t="n"/>
      <c r="V16" s="118">
        <f>G16-L16-Q16</f>
        <v/>
      </c>
      <c r="W16" s="44" t="n"/>
      <c r="X16" s="44" t="n"/>
      <c r="Y16" s="44" t="n"/>
      <c r="Z16" s="45" t="n"/>
    </row>
    <row r="17" ht="20.25" customHeight="1" s="41">
      <c r="C17" s="43" t="n"/>
      <c r="D17" s="44" t="n"/>
      <c r="E17" s="44" t="n"/>
      <c r="F17" s="45" t="n"/>
      <c r="G17" s="43" t="n"/>
      <c r="H17" s="44" t="n"/>
      <c r="I17" s="44" t="n"/>
      <c r="J17" s="44" t="n"/>
      <c r="K17" s="45" t="n"/>
      <c r="L17" s="43" t="n"/>
      <c r="M17" s="44" t="n"/>
      <c r="N17" s="44" t="n"/>
      <c r="O17" s="44" t="n"/>
      <c r="P17" s="45" t="n"/>
      <c r="Q17" s="43" t="n"/>
      <c r="R17" s="44" t="n"/>
      <c r="S17" s="44" t="n"/>
      <c r="T17" s="44" t="n"/>
      <c r="U17" s="45" t="n"/>
      <c r="V17" s="118">
        <f>G17-L17-Q17</f>
        <v/>
      </c>
      <c r="W17" s="44" t="n"/>
      <c r="X17" s="44" t="n"/>
      <c r="Y17" s="44" t="n"/>
      <c r="Z17" s="45" t="n"/>
    </row>
    <row r="18" ht="20.25" customHeight="1" s="41">
      <c r="C18" s="43" t="inlineStr">
        <is>
          <t>合計</t>
        </is>
      </c>
      <c r="D18" s="44" t="n"/>
      <c r="E18" s="44" t="n"/>
      <c r="F18" s="45" t="n"/>
      <c r="G18" s="118">
        <f>SUM(G12:K17)</f>
        <v/>
      </c>
      <c r="H18" s="44" t="n"/>
      <c r="I18" s="44" t="n"/>
      <c r="J18" s="44" t="n"/>
      <c r="K18" s="45" t="n"/>
      <c r="L18" s="118">
        <f>SUM(L12:P17)</f>
        <v/>
      </c>
      <c r="M18" s="44" t="n"/>
      <c r="N18" s="44" t="n"/>
      <c r="O18" s="44" t="n"/>
      <c r="P18" s="45" t="n"/>
      <c r="Q18" s="118">
        <f>SUM(Q12:U17)</f>
        <v/>
      </c>
      <c r="R18" s="44" t="n"/>
      <c r="S18" s="44" t="n"/>
      <c r="T18" s="44" t="n"/>
      <c r="U18" s="45" t="n"/>
      <c r="V18" s="118">
        <f>G18-L18-Q18</f>
        <v/>
      </c>
      <c r="W18" s="44" t="n"/>
      <c r="X18" s="44" t="n"/>
      <c r="Y18" s="44" t="n"/>
      <c r="Z18" s="45" t="n"/>
    </row>
    <row r="19" ht="20.25" customHeight="1" s="41">
      <c r="C19" s="43" t="inlineStr">
        <is>
          <t>請求金額</t>
        </is>
      </c>
      <c r="D19" s="44" t="n"/>
      <c r="E19" s="44" t="n"/>
      <c r="F19" s="45" t="n"/>
      <c r="G19" s="118">
        <f>控え!G18</f>
        <v/>
      </c>
      <c r="H19" s="44" t="n"/>
      <c r="I19" s="44" t="n"/>
      <c r="J19" s="44" t="n"/>
      <c r="K19" s="45" t="n"/>
      <c r="L19" s="120" t="n"/>
      <c r="M19" s="44" t="n"/>
      <c r="N19" s="44" t="n"/>
      <c r="O19" s="44" t="n"/>
      <c r="P19" s="45" t="n"/>
      <c r="Q19" s="43">
        <f>ROUND(Q7*1.1,0)</f>
        <v/>
      </c>
      <c r="R19" s="44" t="n"/>
      <c r="S19" s="44" t="n"/>
      <c r="T19" s="44" t="n"/>
      <c r="U19" s="45" t="n"/>
      <c r="V19" s="118">
        <f>G19-L19-Q19</f>
        <v/>
      </c>
      <c r="W19" s="44" t="n"/>
      <c r="X19" s="44" t="n"/>
      <c r="Y19" s="44" t="n"/>
      <c r="Z19" s="45" t="n"/>
    </row>
    <row r="20" ht="20.25" customHeight="1" s="41">
      <c r="C20" s="43" t="inlineStr">
        <is>
          <t>調整</t>
        </is>
      </c>
      <c r="D20" s="44" t="n"/>
      <c r="E20" s="44" t="n"/>
      <c r="F20" s="45" t="n"/>
      <c r="G20" s="118">
        <f>G18-G19</f>
        <v/>
      </c>
      <c r="H20" s="44" t="n"/>
      <c r="I20" s="44" t="n"/>
      <c r="J20" s="44" t="n"/>
      <c r="K20" s="45" t="n"/>
      <c r="L20" s="118">
        <f>L18-L19</f>
        <v/>
      </c>
      <c r="M20" s="44" t="n"/>
      <c r="N20" s="44" t="n"/>
      <c r="O20" s="44" t="n"/>
      <c r="P20" s="45" t="n"/>
      <c r="Q20" s="118">
        <f>Q18-Q19</f>
        <v/>
      </c>
      <c r="R20" s="44" t="n"/>
      <c r="S20" s="44" t="n"/>
      <c r="T20" s="44" t="n"/>
      <c r="U20" s="45" t="n"/>
      <c r="V20" s="118">
        <f>G20-控え!Y34-Q20</f>
        <v/>
      </c>
      <c r="W20" s="44" t="n"/>
      <c r="X20" s="44" t="n"/>
      <c r="Y20" s="44" t="n"/>
      <c r="Z20" s="45" t="n"/>
    </row>
    <row r="21" ht="20.25" customHeight="1" s="41"/>
    <row r="22" ht="20.25" customHeight="1" s="41">
      <c r="C22" s="43" t="inlineStr">
        <is>
          <t>部品代</t>
        </is>
      </c>
      <c r="D22" s="44" t="n"/>
      <c r="E22" s="44" t="n"/>
      <c r="F22" s="44" t="n"/>
      <c r="G22" s="44" t="n"/>
      <c r="H22" s="45" t="n"/>
      <c r="I22" s="43" t="inlineStr">
        <is>
          <t>売上</t>
        </is>
      </c>
      <c r="J22" s="44" t="n"/>
      <c r="K22" s="44" t="n"/>
      <c r="L22" s="45" t="n"/>
      <c r="M22" s="119">
        <f>G14</f>
        <v/>
      </c>
      <c r="N22" s="44" t="n"/>
      <c r="O22" s="44" t="n"/>
      <c r="P22" s="45" t="n"/>
      <c r="Q22" s="43" t="inlineStr">
        <is>
          <t>仕入</t>
        </is>
      </c>
      <c r="R22" s="44" t="n"/>
      <c r="S22" s="44" t="n"/>
      <c r="T22" s="45" t="n"/>
      <c r="U22" s="119">
        <f>(L14+Q14)/1.1</f>
        <v/>
      </c>
      <c r="V22" s="44" t="n"/>
      <c r="W22" s="44" t="n"/>
      <c r="X22" s="45" t="n"/>
    </row>
    <row r="23" ht="20.25" customHeight="1" s="41">
      <c r="C23" s="43" t="inlineStr">
        <is>
          <t>技術料</t>
        </is>
      </c>
      <c r="D23" s="44" t="n"/>
      <c r="E23" s="44" t="n"/>
      <c r="F23" s="44" t="n"/>
      <c r="G23" s="44" t="n"/>
      <c r="H23" s="45" t="n"/>
      <c r="I23" s="43" t="inlineStr">
        <is>
          <t>売上</t>
        </is>
      </c>
      <c r="J23" s="44" t="n"/>
      <c r="K23" s="44" t="n"/>
      <c r="L23" s="45" t="n"/>
      <c r="M23" s="119">
        <f>G15</f>
        <v/>
      </c>
      <c r="N23" s="44" t="n"/>
      <c r="O23" s="44" t="n"/>
      <c r="P23" s="45" t="n"/>
      <c r="Q23" s="43" t="inlineStr">
        <is>
          <t>仕入</t>
        </is>
      </c>
      <c r="R23" s="44" t="n"/>
      <c r="S23" s="44" t="n"/>
      <c r="T23" s="45" t="n"/>
      <c r="U23" s="119">
        <f>L15/1.1</f>
        <v/>
      </c>
      <c r="V23" s="44" t="n"/>
      <c r="W23" s="44" t="n"/>
      <c r="X23" s="45" t="n"/>
    </row>
    <row r="24" ht="20.25" customHeight="1" s="41">
      <c r="I24" s="107" t="inlineStr">
        <is>
          <t>【税込）</t>
        </is>
      </c>
      <c r="J24" s="37" t="n"/>
      <c r="K24" s="37" t="n"/>
      <c r="L24" s="37" t="n"/>
      <c r="M24" s="37" t="n"/>
      <c r="N24" s="37" t="n"/>
      <c r="O24" s="37" t="n"/>
      <c r="P24" s="37" t="n"/>
      <c r="Q24" s="107" t="inlineStr">
        <is>
          <t>【税別）</t>
        </is>
      </c>
      <c r="R24" s="37" t="n"/>
      <c r="S24" s="37" t="n"/>
      <c r="T24" s="37" t="n"/>
      <c r="U24" s="37" t="n"/>
      <c r="V24" s="37" t="n"/>
      <c r="W24" s="37" t="n"/>
      <c r="X24" s="37" t="n"/>
    </row>
    <row r="25" ht="20.25" customHeight="1" s="41"/>
    <row r="26" ht="20.25" customHeight="1" s="41">
      <c r="C26" s="43" t="inlineStr">
        <is>
          <t>法定費用</t>
        </is>
      </c>
      <c r="D26" s="44" t="n"/>
      <c r="E26" s="44" t="n"/>
      <c r="F26" s="44" t="n"/>
      <c r="G26" s="44" t="n"/>
      <c r="H26" s="45" t="n"/>
      <c r="I26" s="122">
        <f>G12</f>
        <v/>
      </c>
      <c r="J26" s="44" t="n"/>
      <c r="K26" s="44" t="n"/>
      <c r="L26" s="44" t="n"/>
      <c r="M26" s="45" t="n"/>
      <c r="N26" s="43" t="inlineStr">
        <is>
          <t>まとめて入力</t>
        </is>
      </c>
      <c r="O26" s="44" t="n"/>
      <c r="P26" s="44" t="n"/>
      <c r="Q26" s="44" t="n"/>
      <c r="R26" s="44" t="n"/>
      <c r="S26" s="44" t="n"/>
      <c r="T26" s="45" t="n"/>
    </row>
    <row r="27" ht="20.25" customHeight="1" s="41"/>
    <row r="28" ht="20.25" customHeight="1" s="41">
      <c r="C28" s="43" t="inlineStr">
        <is>
          <t>車検基本料金</t>
        </is>
      </c>
      <c r="D28" s="44" t="n"/>
      <c r="E28" s="44" t="n"/>
      <c r="F28" s="44" t="n"/>
      <c r="G28" s="44" t="n"/>
      <c r="H28" s="44" t="n"/>
      <c r="I28" s="45" t="n"/>
      <c r="J28" s="43" t="inlineStr">
        <is>
          <t>売上</t>
        </is>
      </c>
      <c r="K28" s="44" t="n"/>
      <c r="L28" s="44" t="n"/>
      <c r="M28" s="45" t="n"/>
      <c r="N28" s="119">
        <f>G13</f>
        <v/>
      </c>
      <c r="O28" s="44" t="n"/>
      <c r="P28" s="44" t="n"/>
      <c r="Q28" s="45" t="n"/>
      <c r="R28" s="43" t="inlineStr">
        <is>
          <t>仕入れ</t>
        </is>
      </c>
      <c r="S28" s="44" t="n"/>
      <c r="T28" s="44" t="n"/>
      <c r="U28" s="45" t="n"/>
      <c r="V28" s="119">
        <f>L13/1.1</f>
        <v/>
      </c>
      <c r="W28" s="44" t="n"/>
      <c r="X28" s="44" t="n"/>
      <c r="Y28" s="45" t="n"/>
    </row>
    <row r="29" ht="20.25" customHeight="1" s="41">
      <c r="J29" s="107" t="inlineStr">
        <is>
          <t>【税込）</t>
        </is>
      </c>
      <c r="K29" s="37" t="n"/>
      <c r="L29" s="37" t="n"/>
      <c r="M29" s="37" t="n"/>
      <c r="N29" s="37" t="n"/>
      <c r="O29" s="37" t="n"/>
      <c r="P29" s="37" t="n"/>
      <c r="Q29" s="37" t="n"/>
      <c r="R29" s="121" t="inlineStr">
        <is>
          <t>【税別）</t>
        </is>
      </c>
      <c r="S29" s="37" t="n"/>
      <c r="T29" s="37" t="n"/>
      <c r="U29" s="37" t="n"/>
      <c r="V29" s="37" t="n"/>
      <c r="W29" s="37" t="n"/>
      <c r="X29" s="37" t="n"/>
      <c r="Y29" s="37" t="n"/>
    </row>
    <row r="30" ht="20.25" customHeight="1" s="41"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0.25" customHeight="1" s="41">
      <c r="R31" s="7" t="n"/>
      <c r="S31" s="7" t="n"/>
      <c r="T31" s="7" t="n"/>
      <c r="U31" s="7" t="n"/>
      <c r="V31" s="7" t="n"/>
      <c r="W31" s="7" t="n"/>
      <c r="X31" s="7" t="n"/>
      <c r="Y31" s="7" t="n"/>
    </row>
  </sheetData>
  <mergeCells count="88">
    <mergeCell ref="D4:J4"/>
    <mergeCell ref="G12:K12"/>
    <mergeCell ref="L7:P7"/>
    <mergeCell ref="J29:Q29"/>
    <mergeCell ref="L16:P16"/>
    <mergeCell ref="U23:X23"/>
    <mergeCell ref="M23:P23"/>
    <mergeCell ref="C13:F13"/>
    <mergeCell ref="C28:I28"/>
    <mergeCell ref="Q20:U20"/>
    <mergeCell ref="Q14:U14"/>
    <mergeCell ref="V10:Z10"/>
    <mergeCell ref="N26:T26"/>
    <mergeCell ref="V19:Z19"/>
    <mergeCell ref="G13:K13"/>
    <mergeCell ref="C15:F15"/>
    <mergeCell ref="R28:U28"/>
    <mergeCell ref="J28:M28"/>
    <mergeCell ref="G15:K15"/>
    <mergeCell ref="L20:P20"/>
    <mergeCell ref="Q15:U15"/>
    <mergeCell ref="V11:Z11"/>
    <mergeCell ref="C10:F10"/>
    <mergeCell ref="L6:P6"/>
    <mergeCell ref="G16:K16"/>
    <mergeCell ref="C26:H26"/>
    <mergeCell ref="V12:Z12"/>
    <mergeCell ref="L10:U10"/>
    <mergeCell ref="C17:F17"/>
    <mergeCell ref="B3:C3"/>
    <mergeCell ref="G11:K11"/>
    <mergeCell ref="R29:Y29"/>
    <mergeCell ref="V14:Z14"/>
    <mergeCell ref="L13:P13"/>
    <mergeCell ref="Q24:X24"/>
    <mergeCell ref="C19:F19"/>
    <mergeCell ref="V13:Z13"/>
    <mergeCell ref="L15:P15"/>
    <mergeCell ref="K3:Q3"/>
    <mergeCell ref="U22:X22"/>
    <mergeCell ref="Q19:U19"/>
    <mergeCell ref="L18:P18"/>
    <mergeCell ref="C14:F14"/>
    <mergeCell ref="G14:K14"/>
    <mergeCell ref="Q6:U6"/>
    <mergeCell ref="Q23:T23"/>
    <mergeCell ref="V28:Y28"/>
    <mergeCell ref="L11:P11"/>
    <mergeCell ref="Q13:U13"/>
    <mergeCell ref="Q7:U7"/>
    <mergeCell ref="V17:Z17"/>
    <mergeCell ref="Q16:U16"/>
    <mergeCell ref="D3:J3"/>
    <mergeCell ref="Q18:U18"/>
    <mergeCell ref="G17:K17"/>
    <mergeCell ref="L12:P12"/>
    <mergeCell ref="C18:F18"/>
    <mergeCell ref="G10:K10"/>
    <mergeCell ref="G19:K19"/>
    <mergeCell ref="L14:P14"/>
    <mergeCell ref="V15:Z15"/>
    <mergeCell ref="R4:X4"/>
    <mergeCell ref="C20:F20"/>
    <mergeCell ref="V16:Z16"/>
    <mergeCell ref="C12:F12"/>
    <mergeCell ref="B4:C4"/>
    <mergeCell ref="V18:Z18"/>
    <mergeCell ref="I23:L23"/>
    <mergeCell ref="N28:Q28"/>
    <mergeCell ref="R3:X3"/>
    <mergeCell ref="L17:P17"/>
    <mergeCell ref="Q12:U12"/>
    <mergeCell ref="C22:H22"/>
    <mergeCell ref="L19:P19"/>
    <mergeCell ref="I26:M26"/>
    <mergeCell ref="K4:Q4"/>
    <mergeCell ref="V20:Z20"/>
    <mergeCell ref="C23:H23"/>
    <mergeCell ref="G18:K18"/>
    <mergeCell ref="C16:F16"/>
    <mergeCell ref="I24:P24"/>
    <mergeCell ref="I22:L22"/>
    <mergeCell ref="G20:K20"/>
    <mergeCell ref="M22:P22"/>
    <mergeCell ref="Q17:U17"/>
    <mergeCell ref="Q11:U11"/>
    <mergeCell ref="C11:F11"/>
    <mergeCell ref="Q22:T22"/>
  </mergeCells>
  <pageMargins left="0.19" right="0.18" top="0.4" bottom="0.19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sanwa-pc01</dc:creator>
  <dcterms:created xsi:type="dcterms:W3CDTF">2015-10-29T02:30:12Z</dcterms:created>
  <dcterms:modified xsi:type="dcterms:W3CDTF">2026-06-28T04:32:59Z</dcterms:modified>
  <cp:lastModifiedBy>豊岡ＳＳ</cp:lastModifiedBy>
  <cp:lastPrinted>2018-04-09T06:11:12Z</cp:lastPrinted>
</cp:coreProperties>
</file>